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ämäTyökirja" defaultThemeVersion="166925"/>
  <mc:AlternateContent xmlns:mc="http://schemas.openxmlformats.org/markup-compatibility/2006">
    <mc:Choice Requires="x15">
      <x15ac:absPath xmlns:x15ac="http://schemas.microsoft.com/office/spreadsheetml/2010/11/ac" url="https://d.docs.live.net/205247e7cad6cbc1/Yrityksen asiat/Myynninsuunnittelu-verkkokurssi/"/>
    </mc:Choice>
  </mc:AlternateContent>
  <xr:revisionPtr revIDLastSave="152" documentId="8_{E441C0B1-74DC-4584-98B1-CD3466CC7D58}" xr6:coauthVersionLast="47" xr6:coauthVersionMax="47" xr10:uidLastSave="{328340C8-751D-4343-BED0-8F307226CC3C}"/>
  <bookViews>
    <workbookView xWindow="-120" yWindow="-120" windowWidth="29040" windowHeight="15720" activeTab="2" xr2:uid="{D6F5FC04-ACBC-433A-A188-E184BEE1E1BA}"/>
  </bookViews>
  <sheets>
    <sheet name="Tervetuloa!" sheetId="27" r:id="rId1"/>
    <sheet name="1. Sopimukset ja tot.myynnit" sheetId="20" r:id="rId2"/>
    <sheet name="2. Myyntiennuste" sheetId="4" r:id="rId3"/>
    <sheet name="3. Paljonko voin maksaa palkkaa" sheetId="25" r:id="rId4"/>
    <sheet name="4. Kulukorvaukset" sheetId="7" r:id="rId5"/>
    <sheet name="Aputaulukko" sheetId="22" state="hidden"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1" i="4" l="1"/>
  <c r="N12" i="4" s="1"/>
  <c r="M12" i="4"/>
  <c r="E33" i="25"/>
  <c r="E102" i="20"/>
  <c r="D4" i="4" s="1"/>
  <c r="K4" i="20"/>
  <c r="K6" i="20"/>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J6" i="20"/>
  <c r="J7" i="20"/>
  <c r="J9" i="20"/>
  <c r="J10" i="20"/>
  <c r="J13" i="20"/>
  <c r="J14" i="20"/>
  <c r="J18" i="20"/>
  <c r="J19" i="20"/>
  <c r="J21" i="20"/>
  <c r="J22" i="20"/>
  <c r="J25" i="20"/>
  <c r="J26" i="20"/>
  <c r="J30" i="20"/>
  <c r="J31" i="20"/>
  <c r="J33" i="20"/>
  <c r="J34" i="20"/>
  <c r="J37" i="20"/>
  <c r="J38" i="20"/>
  <c r="J42" i="20"/>
  <c r="J43" i="20"/>
  <c r="J45" i="20"/>
  <c r="J46" i="20"/>
  <c r="J49" i="20"/>
  <c r="J50" i="20"/>
  <c r="J54" i="20"/>
  <c r="J55" i="20"/>
  <c r="J57" i="20"/>
  <c r="J58" i="20"/>
  <c r="J61" i="20"/>
  <c r="J62" i="20"/>
  <c r="J66" i="20"/>
  <c r="J67" i="20"/>
  <c r="J69" i="20"/>
  <c r="J70" i="20"/>
  <c r="J73" i="20"/>
  <c r="J74" i="20"/>
  <c r="J78" i="20"/>
  <c r="J79" i="20"/>
  <c r="J81" i="20"/>
  <c r="J82" i="20"/>
  <c r="J85" i="20"/>
  <c r="J86" i="20"/>
  <c r="J90" i="20"/>
  <c r="J91" i="20"/>
  <c r="J93" i="20"/>
  <c r="J94" i="20"/>
  <c r="J97" i="20"/>
  <c r="J98" i="20"/>
  <c r="I4" i="20"/>
  <c r="J4" i="20" s="1"/>
  <c r="I5" i="20"/>
  <c r="J5" i="20" s="1"/>
  <c r="I6" i="20"/>
  <c r="I7" i="20"/>
  <c r="I8" i="20"/>
  <c r="J8" i="20" s="1"/>
  <c r="I9" i="20"/>
  <c r="I10" i="20"/>
  <c r="I11" i="20"/>
  <c r="J11" i="20" s="1"/>
  <c r="I12" i="20"/>
  <c r="J12" i="20" s="1"/>
  <c r="I13" i="20"/>
  <c r="I14" i="20"/>
  <c r="I15" i="20"/>
  <c r="J15" i="20" s="1"/>
  <c r="I16" i="20"/>
  <c r="J16" i="20" s="1"/>
  <c r="I17" i="20"/>
  <c r="J17" i="20" s="1"/>
  <c r="I18" i="20"/>
  <c r="I19" i="20"/>
  <c r="I20" i="20"/>
  <c r="J20" i="20" s="1"/>
  <c r="I21" i="20"/>
  <c r="I22" i="20"/>
  <c r="I23" i="20"/>
  <c r="J23" i="20" s="1"/>
  <c r="I24" i="20"/>
  <c r="J24" i="20" s="1"/>
  <c r="I25" i="20"/>
  <c r="I26" i="20"/>
  <c r="I27" i="20"/>
  <c r="J27" i="20" s="1"/>
  <c r="I28" i="20"/>
  <c r="J28" i="20" s="1"/>
  <c r="I29" i="20"/>
  <c r="J29" i="20" s="1"/>
  <c r="I30" i="20"/>
  <c r="I31" i="20"/>
  <c r="I32" i="20"/>
  <c r="J32" i="20" s="1"/>
  <c r="I33" i="20"/>
  <c r="I34" i="20"/>
  <c r="I35" i="20"/>
  <c r="J35" i="20" s="1"/>
  <c r="I36" i="20"/>
  <c r="J36" i="20" s="1"/>
  <c r="I37" i="20"/>
  <c r="I38" i="20"/>
  <c r="I39" i="20"/>
  <c r="J39" i="20" s="1"/>
  <c r="I40" i="20"/>
  <c r="J40" i="20" s="1"/>
  <c r="I41" i="20"/>
  <c r="J41" i="20" s="1"/>
  <c r="I42" i="20"/>
  <c r="I43" i="20"/>
  <c r="I44" i="20"/>
  <c r="J44" i="20" s="1"/>
  <c r="I45" i="20"/>
  <c r="I46" i="20"/>
  <c r="I47" i="20"/>
  <c r="J47" i="20" s="1"/>
  <c r="I48" i="20"/>
  <c r="J48" i="20" s="1"/>
  <c r="I49" i="20"/>
  <c r="I50" i="20"/>
  <c r="I51" i="20"/>
  <c r="J51" i="20" s="1"/>
  <c r="I52" i="20"/>
  <c r="J52" i="20" s="1"/>
  <c r="I53" i="20"/>
  <c r="J53" i="20" s="1"/>
  <c r="I54" i="20"/>
  <c r="I55" i="20"/>
  <c r="I56" i="20"/>
  <c r="J56" i="20" s="1"/>
  <c r="I57" i="20"/>
  <c r="I58" i="20"/>
  <c r="I59" i="20"/>
  <c r="J59" i="20" s="1"/>
  <c r="I60" i="20"/>
  <c r="J60" i="20" s="1"/>
  <c r="I61" i="20"/>
  <c r="I62" i="20"/>
  <c r="I63" i="20"/>
  <c r="J63" i="20" s="1"/>
  <c r="I64" i="20"/>
  <c r="J64" i="20" s="1"/>
  <c r="I65" i="20"/>
  <c r="J65" i="20" s="1"/>
  <c r="I66" i="20"/>
  <c r="I67" i="20"/>
  <c r="I68" i="20"/>
  <c r="J68" i="20" s="1"/>
  <c r="I69" i="20"/>
  <c r="I70" i="20"/>
  <c r="I71" i="20"/>
  <c r="J71" i="20" s="1"/>
  <c r="I72" i="20"/>
  <c r="J72" i="20" s="1"/>
  <c r="I73" i="20"/>
  <c r="I74" i="20"/>
  <c r="I75" i="20"/>
  <c r="J75" i="20" s="1"/>
  <c r="I76" i="20"/>
  <c r="J76" i="20" s="1"/>
  <c r="I77" i="20"/>
  <c r="J77" i="20" s="1"/>
  <c r="I78" i="20"/>
  <c r="I79" i="20"/>
  <c r="I80" i="20"/>
  <c r="J80" i="20" s="1"/>
  <c r="I81" i="20"/>
  <c r="I82" i="20"/>
  <c r="I83" i="20"/>
  <c r="J83" i="20" s="1"/>
  <c r="I84" i="20"/>
  <c r="J84" i="20" s="1"/>
  <c r="I85" i="20"/>
  <c r="I86" i="20"/>
  <c r="I87" i="20"/>
  <c r="J87" i="20" s="1"/>
  <c r="I88" i="20"/>
  <c r="J88" i="20" s="1"/>
  <c r="I89" i="20"/>
  <c r="J89" i="20" s="1"/>
  <c r="I90" i="20"/>
  <c r="I91" i="20"/>
  <c r="I92" i="20"/>
  <c r="J92" i="20" s="1"/>
  <c r="I93" i="20"/>
  <c r="I94" i="20"/>
  <c r="I95" i="20"/>
  <c r="J95" i="20" s="1"/>
  <c r="I96" i="20"/>
  <c r="J96" i="20" s="1"/>
  <c r="I97" i="20"/>
  <c r="I98" i="20"/>
  <c r="I99" i="20"/>
  <c r="J99" i="20" s="1"/>
  <c r="I100" i="20"/>
  <c r="J100" i="20" s="1"/>
  <c r="I101" i="20"/>
  <c r="J101" i="20" s="1"/>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97" i="20"/>
  <c r="G98" i="20"/>
  <c r="G99" i="20"/>
  <c r="G100" i="20"/>
  <c r="G101" i="20"/>
  <c r="G4" i="20"/>
  <c r="F24" i="25"/>
  <c r="F23" i="25"/>
  <c r="F22" i="25"/>
  <c r="F21" i="25"/>
  <c r="F20" i="25"/>
  <c r="F19" i="25"/>
  <c r="F18" i="25"/>
  <c r="F17" i="25"/>
  <c r="F16" i="25"/>
  <c r="F15" i="25"/>
  <c r="F14" i="25"/>
  <c r="F13" i="25"/>
  <c r="F12" i="25"/>
  <c r="F11" i="25"/>
  <c r="F10" i="25"/>
  <c r="F9" i="25"/>
  <c r="F8" i="25"/>
  <c r="F7" i="25"/>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H5" i="4"/>
  <c r="I5" i="4" s="1"/>
  <c r="I102" i="20" l="1"/>
  <c r="H4" i="4" s="1"/>
  <c r="I4" i="4" s="1"/>
  <c r="F25" i="25"/>
  <c r="F5" i="4"/>
  <c r="F6" i="4"/>
  <c r="F7" i="4"/>
  <c r="F8" i="4"/>
  <c r="F9" i="4"/>
  <c r="F10" i="4"/>
  <c r="F11" i="4"/>
  <c r="F12" i="4"/>
  <c r="F13" i="4"/>
  <c r="F14" i="4"/>
  <c r="F15" i="4"/>
  <c r="F16" i="4"/>
  <c r="F17" i="4"/>
  <c r="F18" i="4"/>
  <c r="F19" i="4"/>
  <c r="F20" i="4"/>
  <c r="F21" i="4"/>
  <c r="F22" i="4"/>
  <c r="J26"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J23" i="4"/>
  <c r="J24" i="4"/>
  <c r="J25"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G89" i="7" l="1"/>
  <c r="K102" i="20" l="1"/>
  <c r="J5" i="4"/>
  <c r="J6" i="4"/>
  <c r="J7" i="4"/>
  <c r="J8" i="4"/>
  <c r="J9" i="4"/>
  <c r="J10" i="4"/>
  <c r="J11" i="4"/>
  <c r="J12" i="4"/>
  <c r="J13" i="4"/>
  <c r="J14" i="4"/>
  <c r="J15" i="4"/>
  <c r="J16" i="4"/>
  <c r="J17" i="4"/>
  <c r="J18" i="4"/>
  <c r="J19" i="4"/>
  <c r="J20" i="4"/>
  <c r="J21" i="4"/>
  <c r="J22" i="4"/>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F5" i="25" l="1"/>
  <c r="J4" i="4"/>
  <c r="H102" i="4"/>
  <c r="J101" i="4"/>
  <c r="M4" i="4" s="1"/>
  <c r="F4" i="25" s="1"/>
  <c r="F27" i="25" l="1"/>
  <c r="F32" i="25" s="1"/>
  <c r="F33" i="25" s="1"/>
  <c r="F26" i="25"/>
  <c r="N4" i="4"/>
  <c r="I102" i="4"/>
  <c r="M5" i="4"/>
  <c r="N5" i="4" s="1"/>
  <c r="F30" i="25" l="1"/>
  <c r="N9" i="4" s="1"/>
  <c r="N10" i="4" s="1"/>
  <c r="F3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tc={43400045-582A-45B6-862F-707F30EFCA00}</author>
  </authors>
  <commentList>
    <comment ref="F4" authorId="0" shapeId="0" xr:uid="{43400045-582A-45B6-862F-707F30EFCA00}">
      <text>
        <t>[Kommenttiketju]
Excel-versiosi avulla voit lukea tämän kommenttiketjun, mutta siihen tehdyt muutokset poistetaan, jos tiedosto avataan uudemmassa Excel-versiossa. Lisätietoja: https://go.microsoft.com/fwlink/?linkid=870924
Kommentti:
    Siirtyy ennustevälilehdeltä</t>
      </text>
    </comment>
  </commentList>
</comments>
</file>

<file path=xl/sharedStrings.xml><?xml version="1.0" encoding="utf-8"?>
<sst xmlns="http://schemas.openxmlformats.org/spreadsheetml/2006/main" count="412" uniqueCount="170">
  <si>
    <t>Asiakas</t>
  </si>
  <si>
    <t>Yhteensä</t>
  </si>
  <si>
    <t xml:space="preserve"> </t>
  </si>
  <si>
    <t>Tulot</t>
  </si>
  <si>
    <t>Menot</t>
  </si>
  <si>
    <t>Edustusmenot</t>
  </si>
  <si>
    <t>YEL</t>
  </si>
  <si>
    <t>Verkkosivut</t>
  </si>
  <si>
    <t>Koulutusmenot</t>
  </si>
  <si>
    <t>Sijoitus</t>
  </si>
  <si>
    <t>Osinko</t>
  </si>
  <si>
    <t>Osapäiväraha</t>
  </si>
  <si>
    <t>Kulukorvaukset</t>
  </si>
  <si>
    <t>Kirjanpito</t>
  </si>
  <si>
    <t>kesto/1 kk</t>
  </si>
  <si>
    <t>Matkalasku</t>
  </si>
  <si>
    <t>Jäsenmaksut</t>
  </si>
  <si>
    <t>hinta yht.</t>
  </si>
  <si>
    <t>Organisaatio</t>
  </si>
  <si>
    <t xml:space="preserve">Sopimus  </t>
  </si>
  <si>
    <t>Matkareitti</t>
  </si>
  <si>
    <t>Kilometrikorvaus</t>
  </si>
  <si>
    <t>Kokopäiväraha</t>
  </si>
  <si>
    <t>Ateriakorvaus</t>
  </si>
  <si>
    <t>Matkan tarkoitus</t>
  </si>
  <si>
    <t>Päivämäärä</t>
  </si>
  <si>
    <t>Laji</t>
  </si>
  <si>
    <t>Arvo</t>
  </si>
  <si>
    <t>Valitse alasvetovalikosta</t>
  </si>
  <si>
    <t>Täytä päivämääräväli</t>
  </si>
  <si>
    <t>Täytä oma nimesi</t>
  </si>
  <si>
    <t>Täytä  henkilötunnuksesi</t>
  </si>
  <si>
    <t>Täytä tilinumerosi</t>
  </si>
  <si>
    <t>Täytä yrityksesi nimi</t>
  </si>
  <si>
    <t>Täytä yrityksesi Y-tunnus</t>
  </si>
  <si>
    <t>Asiakas 4</t>
  </si>
  <si>
    <t>Asiakas 5</t>
  </si>
  <si>
    <t>Asiakas 6</t>
  </si>
  <si>
    <t>Asiakas 7</t>
  </si>
  <si>
    <t>Asiakas 8</t>
  </si>
  <si>
    <t>Asiakas 9</t>
  </si>
  <si>
    <t>Asiakas 10</t>
  </si>
  <si>
    <t>Asiakas 11</t>
  </si>
  <si>
    <t>Asiakas 12</t>
  </si>
  <si>
    <t>Asiakas 14</t>
  </si>
  <si>
    <t>Asiakas 15</t>
  </si>
  <si>
    <t>Asiakas 16</t>
  </si>
  <si>
    <t>Asiakas 17</t>
  </si>
  <si>
    <t>Asiakas 18</t>
  </si>
  <si>
    <t>Asiakas 19</t>
  </si>
  <si>
    <t>Asiakas 20</t>
  </si>
  <si>
    <t>Asiakkaan nimi 4</t>
  </si>
  <si>
    <t>Asiakkaan nimi 5</t>
  </si>
  <si>
    <t>Asiakkaan nimi 6</t>
  </si>
  <si>
    <t>Asiakkaan nimi 7</t>
  </si>
  <si>
    <t>Asiakkaan nimi 8</t>
  </si>
  <si>
    <t>Asiakkaan nimi 9</t>
  </si>
  <si>
    <t>Asiakkaan nimi 10</t>
  </si>
  <si>
    <t>Asiakkaan nimi 11</t>
  </si>
  <si>
    <t>Asiakkaan nimi 12</t>
  </si>
  <si>
    <t>Asiakkaan nimi 14</t>
  </si>
  <si>
    <t>Asiakkaan nimi 15</t>
  </si>
  <si>
    <t>Asiakkaan nimi 16</t>
  </si>
  <si>
    <t>Asiakkaan nimi 17</t>
  </si>
  <si>
    <t>Asiakkaan nimi 18</t>
  </si>
  <si>
    <t>Asiakkaan nimi 19</t>
  </si>
  <si>
    <t>Asiakkaan nimi 20</t>
  </si>
  <si>
    <t>AS3</t>
  </si>
  <si>
    <t>AS4</t>
  </si>
  <si>
    <t>AS5</t>
  </si>
  <si>
    <t>AS6</t>
  </si>
  <si>
    <t>AS7</t>
  </si>
  <si>
    <t>AS8</t>
  </si>
  <si>
    <t>AS9</t>
  </si>
  <si>
    <t>AS10</t>
  </si>
  <si>
    <t>AS11</t>
  </si>
  <si>
    <t>AS12</t>
  </si>
  <si>
    <t>AS14</t>
  </si>
  <si>
    <t>AS15</t>
  </si>
  <si>
    <t>AS16</t>
  </si>
  <si>
    <t>AS17</t>
  </si>
  <si>
    <t>AS18</t>
  </si>
  <si>
    <t>AS19</t>
  </si>
  <si>
    <t>AS20</t>
  </si>
  <si>
    <t>Sopimuksen päättymispäivä</t>
  </si>
  <si>
    <t>Sopimus</t>
  </si>
  <si>
    <t>Sopimus puuttuu</t>
  </si>
  <si>
    <t>Sopimus voimassa</t>
  </si>
  <si>
    <t>Sopimus tekeillä</t>
  </si>
  <si>
    <t>Sopimusten hallinta</t>
  </si>
  <si>
    <t>Sopimuksen sijainti</t>
  </si>
  <si>
    <t>lisää tähän polku sopimukseen</t>
  </si>
  <si>
    <t>Testiasiakas</t>
  </si>
  <si>
    <t>TAS1</t>
  </si>
  <si>
    <t>kesto/12 kk</t>
  </si>
  <si>
    <t>yhteensä €/v</t>
  </si>
  <si>
    <t>á hinta (ei sis. alv.)</t>
  </si>
  <si>
    <t>kesto, min</t>
  </si>
  <si>
    <t>Liikevaihtoennuste</t>
  </si>
  <si>
    <t>Työmääräennuste, tuntia</t>
  </si>
  <si>
    <t>vuodessa</t>
  </si>
  <si>
    <t>kuukaudessa</t>
  </si>
  <si>
    <t xml:space="preserve">  </t>
  </si>
  <si>
    <t>Siirtyvä pääoma edellisvuodelta</t>
  </si>
  <si>
    <t>Tilin hoitokulut</t>
  </si>
  <si>
    <t>palkka</t>
  </si>
  <si>
    <t>vuosi</t>
  </si>
  <si>
    <t>kuukausi</t>
  </si>
  <si>
    <t>Tilavuokra</t>
  </si>
  <si>
    <t>á hinta (sis. alv.)</t>
  </si>
  <si>
    <t>syötä vero%</t>
  </si>
  <si>
    <t>Liikevaihtoennuste 1/1/2025-31/12/2025</t>
  </si>
  <si>
    <t>Tuotetunnus</t>
  </si>
  <si>
    <t>Testiasiakkaan nimi 1</t>
  </si>
  <si>
    <t>Testiasiakkaan nimi 2</t>
  </si>
  <si>
    <t>TAS2</t>
  </si>
  <si>
    <t>Kaikki yhteensä</t>
  </si>
  <si>
    <t>IT-yhteys ja ohjelmistot</t>
  </si>
  <si>
    <t>Tarvikkeet ja välineet</t>
  </si>
  <si>
    <t>Vastuu- henki ja sairaskuluvakuutus</t>
  </si>
  <si>
    <t>Myynti- ja markkinointikulut</t>
  </si>
  <si>
    <t>Laitteet</t>
  </si>
  <si>
    <t>Yhteisöverot (mikäli Oy)</t>
  </si>
  <si>
    <t>Kulut yhteensä</t>
  </si>
  <si>
    <t>Muut vähennettävät menot</t>
  </si>
  <si>
    <t xml:space="preserve"> Määrä</t>
  </si>
  <si>
    <t>Määrä/12kk</t>
  </si>
  <si>
    <t>kesto min.</t>
  </si>
  <si>
    <t>kesto/12kk</t>
  </si>
  <si>
    <t>kesto/1kk</t>
  </si>
  <si>
    <t>Toteutunut myynti</t>
  </si>
  <si>
    <t>Uusi asiakas4</t>
  </si>
  <si>
    <t>Uusi asiakas5</t>
  </si>
  <si>
    <t>Uusi asiakas6</t>
  </si>
  <si>
    <t>Uusi asiakas7</t>
  </si>
  <si>
    <t>Uusi asiakas8</t>
  </si>
  <si>
    <t>Uusi asiakas9</t>
  </si>
  <si>
    <t>Uusi asiakas10</t>
  </si>
  <si>
    <t>Tulos ennustetun myynnin mukaan</t>
  </si>
  <si>
    <t>Ennustettu myynti tänä vuonna</t>
  </si>
  <si>
    <t>Jo toteutunut myynti tänä vuonna</t>
  </si>
  <si>
    <t>Tulos jo toteutuneen myynnin mukaan</t>
  </si>
  <si>
    <r>
      <t xml:space="preserve">Karkea arvio </t>
    </r>
    <r>
      <rPr>
        <b/>
        <sz val="11"/>
        <color theme="1"/>
        <rFont val="Calibri"/>
        <family val="2"/>
        <scheme val="minor"/>
      </rPr>
      <t>kuukausipalkasta</t>
    </r>
    <r>
      <rPr>
        <sz val="11"/>
        <color theme="1"/>
        <rFont val="Calibri"/>
        <family val="2"/>
        <scheme val="minor"/>
      </rPr>
      <t xml:space="preserve"> ennen veroja ennustetun myynnin mukaan</t>
    </r>
  </si>
  <si>
    <r>
      <t xml:space="preserve">Karkea arvio </t>
    </r>
    <r>
      <rPr>
        <b/>
        <sz val="11"/>
        <color theme="1"/>
        <rFont val="Calibri"/>
        <family val="2"/>
        <scheme val="minor"/>
      </rPr>
      <t>kuukausipalkasta</t>
    </r>
    <r>
      <rPr>
        <sz val="11"/>
        <color theme="1"/>
        <rFont val="Calibri"/>
        <family val="2"/>
        <scheme val="minor"/>
      </rPr>
      <t xml:space="preserve"> verojen jälkeen ennustetun myynnin mukaan</t>
    </r>
  </si>
  <si>
    <r>
      <t xml:space="preserve">Karkea arvio </t>
    </r>
    <r>
      <rPr>
        <b/>
        <sz val="11"/>
        <color theme="1"/>
        <rFont val="Calibri"/>
        <family val="2"/>
        <scheme val="minor"/>
      </rPr>
      <t>kuukausipalkasta</t>
    </r>
    <r>
      <rPr>
        <sz val="11"/>
        <color theme="1"/>
        <rFont val="Calibri"/>
        <family val="2"/>
        <scheme val="minor"/>
      </rPr>
      <t xml:space="preserve"> ennen veroja toteutuneen myynnin mukaan</t>
    </r>
  </si>
  <si>
    <r>
      <t xml:space="preserve">Karkea arvio </t>
    </r>
    <r>
      <rPr>
        <b/>
        <sz val="11"/>
        <color theme="1"/>
        <rFont val="Calibri"/>
        <family val="2"/>
        <scheme val="minor"/>
      </rPr>
      <t>kuukausipalkasta</t>
    </r>
    <r>
      <rPr>
        <sz val="11"/>
        <color theme="1"/>
        <rFont val="Calibri"/>
        <family val="2"/>
        <scheme val="minor"/>
      </rPr>
      <t xml:space="preserve"> verojen jälkeen toteutuneen myynnin mukaan</t>
    </r>
  </si>
  <si>
    <t>Valitse kululaji</t>
  </si>
  <si>
    <t>Tuote 2</t>
  </si>
  <si>
    <t>Tuote 3</t>
  </si>
  <si>
    <t>Tuote 4</t>
  </si>
  <si>
    <t>Tuote 5</t>
  </si>
  <si>
    <t>Tuote 6</t>
  </si>
  <si>
    <t>Tuote 7</t>
  </si>
  <si>
    <t>Tuote 8</t>
  </si>
  <si>
    <t>Tuotteen nimi 2</t>
  </si>
  <si>
    <t>Tuotteen nimi 3</t>
  </si>
  <si>
    <t>Tuotteen nimi 4</t>
  </si>
  <si>
    <t>Tuotteen nimi 5</t>
  </si>
  <si>
    <t>Tuotteen nimi 6</t>
  </si>
  <si>
    <t>Tuotteen nimi 7</t>
  </si>
  <si>
    <t>Tuotteen nimi 8</t>
  </si>
  <si>
    <t>Avoin</t>
  </si>
  <si>
    <t>Kurssi1</t>
  </si>
  <si>
    <t>Työryhmän työnohjaus</t>
  </si>
  <si>
    <t>Verkkokurssi</t>
  </si>
  <si>
    <t>Myynninsuunnittelu</t>
  </si>
  <si>
    <t>OmaHäme</t>
  </si>
  <si>
    <t>Johdon työnohjaus</t>
  </si>
  <si>
    <r>
      <rPr>
        <b/>
        <sz val="16"/>
        <color theme="1"/>
        <rFont val="Calibri"/>
        <family val="2"/>
        <scheme val="minor"/>
      </rPr>
      <t xml:space="preserve">Tervetuloa suunnittelemaan ja ennustamaan asiantuntijayrittäjän myyntiä ja liikevaihtoa!
</t>
    </r>
    <r>
      <rPr>
        <sz val="16"/>
        <color theme="1"/>
        <rFont val="Calibri"/>
        <family val="2"/>
        <scheme val="minor"/>
      </rPr>
      <t xml:space="preserve">
Tämän työkalun avulla:
1. Hallinnoit omia sopimuksiasi ja pysyt ajantasalla sopimustesi keskeisistä luvuista ja voimassaolosta. Sopimushallinnan kautta sinulla on käsitys omasta toteutuvasta myynnistä kuluvalla tilikaudella.
2. Ennustat ja suunnittelet  tilikauden tulevat ja jopa vaaditut myyntitavoitteet sinulle sopivan palkkatason turvaamiseksi.
3. Osaat arvioida edellisvuodelta siirtyneen pääoman, sovittujen myyntien ja oman myyntisuunnitelman avulla kuukausipalkkasi.
4. Bonuksena vielä kulukorvauslomake, joka automaattisesti laskee sinulle ne sinun yritykseltäsi veloitettavat kulukorvaukset vuoden 2025 hintatason mukaan.</t>
    </r>
  </si>
  <si>
    <t>Toimintakuukausien määrä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</si>
</sst>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8" formatCode="#,##0.00\ &quot;€&quot;;[Red]\-#,##0.00\ &quot;€&quot;"/>
    <numFmt numFmtId="164" formatCode="0.0"/>
    <numFmt numFmtId="165" formatCode="#,##0.00\ &quot;€&quot;"/>
  </numFmts>
  <fonts count="16" x14ac:knownFonts="1">
    <font>
      <sz val="11"/>
      <color theme="1"/>
      <name val="Calibri"/>
      <family val="2"/>
      <scheme val="minor"/>
    </font>
    <font>
      <b/>
      <i/>
      <sz val="11"/>
      <color theme="1"/>
      <name val="Calibri"/>
      <family val="2"/>
      <scheme val="minor"/>
    </font>
    <font>
      <sz val="8"/>
      <name val="Calibri"/>
      <family val="2"/>
      <scheme val="minor"/>
    </font>
    <font>
      <sz val="11"/>
      <color theme="1"/>
      <name val="Calibri"/>
      <family val="2"/>
      <scheme val="minor"/>
    </font>
    <font>
      <i/>
      <sz val="11"/>
      <color theme="1"/>
      <name val="Calibri"/>
      <family val="2"/>
      <scheme val="minor"/>
    </font>
    <font>
      <i/>
      <sz val="11"/>
      <name val="Calibri"/>
      <family val="2"/>
      <scheme val="minor"/>
    </font>
    <font>
      <b/>
      <sz val="11"/>
      <name val="Calibri"/>
      <family val="2"/>
      <scheme val="minor"/>
    </font>
    <font>
      <sz val="11"/>
      <name val="Calibri"/>
      <family val="2"/>
      <scheme val="minor"/>
    </font>
    <font>
      <b/>
      <sz val="11"/>
      <color theme="1"/>
      <name val="Calibri"/>
      <family val="2"/>
      <scheme val="minor"/>
    </font>
    <font>
      <b/>
      <i/>
      <sz val="11"/>
      <name val="Calibri"/>
      <family val="2"/>
      <scheme val="minor"/>
    </font>
    <font>
      <sz val="11"/>
      <color rgb="FFFF0000"/>
      <name val="Calibri"/>
      <family val="2"/>
      <scheme val="minor"/>
    </font>
    <font>
      <b/>
      <sz val="11"/>
      <color rgb="FFFF0000"/>
      <name val="Calibri"/>
      <family val="2"/>
      <scheme val="minor"/>
    </font>
    <font>
      <sz val="16"/>
      <color theme="1"/>
      <name val="Calibri"/>
      <family val="2"/>
      <scheme val="minor"/>
    </font>
    <font>
      <b/>
      <sz val="16"/>
      <color theme="1"/>
      <name val="Calibri"/>
      <family val="2"/>
      <scheme val="minor"/>
    </font>
    <font>
      <sz val="11"/>
      <color rgb="FF9C0006"/>
      <name val="Calibri"/>
      <family val="2"/>
      <scheme val="minor"/>
    </font>
    <font>
      <b/>
      <sz val="11"/>
      <color rgb="FF9C0006"/>
      <name val="Calibri"/>
      <family val="2"/>
      <scheme val="minor"/>
    </font>
  </fonts>
  <fills count="7">
    <fill>
      <patternFill patternType="none"/>
    </fill>
    <fill>
      <patternFill patternType="gray125"/>
    </fill>
    <fill>
      <patternFill patternType="solid">
        <fgColor theme="9" tint="0.59999389629810485"/>
        <bgColor indexed="65"/>
      </patternFill>
    </fill>
    <fill>
      <patternFill patternType="solid">
        <fgColor theme="9" tint="0.79998168889431442"/>
        <bgColor indexed="65"/>
      </patternFill>
    </fill>
    <fill>
      <patternFill patternType="solid">
        <fgColor theme="9" tint="0.39997558519241921"/>
        <bgColor indexed="65"/>
      </patternFill>
    </fill>
    <fill>
      <patternFill patternType="solid">
        <fgColor rgb="FFFFFFCC"/>
      </patternFill>
    </fill>
    <fill>
      <patternFill patternType="solid">
        <fgColor rgb="FFFFC7CE"/>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style="thin">
        <color theme="9"/>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diagonal/>
    </border>
    <border>
      <left style="thin">
        <color theme="9"/>
      </left>
      <right style="thin">
        <color theme="9"/>
      </right>
      <top style="thin">
        <color theme="9"/>
      </top>
      <bottom style="thin">
        <color theme="9"/>
      </bottom>
      <diagonal/>
    </border>
    <border>
      <left/>
      <right/>
      <top/>
      <bottom style="medium">
        <color indexed="64"/>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9"/>
      </left>
      <right style="thin">
        <color theme="9"/>
      </right>
      <top/>
      <bottom style="thin">
        <color theme="9"/>
      </bottom>
      <diagonal/>
    </border>
    <border>
      <left style="thin">
        <color theme="9"/>
      </left>
      <right/>
      <top/>
      <bottom style="thin">
        <color theme="9"/>
      </bottom>
      <diagonal/>
    </border>
    <border>
      <left/>
      <right style="thin">
        <color theme="9"/>
      </right>
      <top/>
      <bottom style="thin">
        <color theme="9"/>
      </bottom>
      <diagonal/>
    </border>
    <border>
      <left/>
      <right style="thin">
        <color indexed="64"/>
      </right>
      <top/>
      <bottom style="thin">
        <color theme="9"/>
      </bottom>
      <diagonal/>
    </border>
    <border>
      <left style="thin">
        <color indexed="64"/>
      </left>
      <right style="thin">
        <color indexed="64"/>
      </right>
      <top/>
      <bottom style="thin">
        <color theme="9"/>
      </bottom>
      <diagonal/>
    </border>
    <border>
      <left style="thin">
        <color theme="0"/>
      </left>
      <right style="thin">
        <color theme="0"/>
      </right>
      <top style="thin">
        <color theme="0"/>
      </top>
      <bottom style="thin">
        <color indexed="64"/>
      </bottom>
      <diagonal/>
    </border>
    <border>
      <left/>
      <right style="thin">
        <color theme="0"/>
      </right>
      <top style="thin">
        <color theme="0"/>
      </top>
      <bottom style="thin">
        <color indexed="64"/>
      </bottom>
      <diagonal/>
    </border>
    <border>
      <left/>
      <right style="thin">
        <color indexed="64"/>
      </right>
      <top/>
      <bottom style="thin">
        <color theme="0"/>
      </bottom>
      <diagonal/>
    </border>
    <border>
      <left/>
      <right style="thin">
        <color indexed="64"/>
      </right>
      <top style="thin">
        <color indexed="64"/>
      </top>
      <bottom style="thin">
        <color theme="9"/>
      </bottom>
      <diagonal/>
    </border>
    <border>
      <left/>
      <right style="thin">
        <color indexed="64"/>
      </right>
      <top style="thin">
        <color indexed="64"/>
      </top>
      <bottom/>
      <diagonal/>
    </border>
    <border>
      <left style="thin">
        <color theme="0"/>
      </left>
      <right style="thin">
        <color theme="0"/>
      </right>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indexed="64"/>
      </right>
      <top/>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37" applyNumberFormat="0" applyFont="0" applyAlignment="0" applyProtection="0"/>
    <xf numFmtId="0" fontId="14" fillId="6" borderId="0" applyNumberFormat="0" applyBorder="0" applyAlignment="0" applyProtection="0"/>
  </cellStyleXfs>
  <cellXfs count="135">
    <xf numFmtId="0" fontId="0" fillId="0" borderId="0" xfId="0"/>
    <xf numFmtId="0" fontId="0" fillId="0" borderId="5" xfId="0" applyBorder="1"/>
    <xf numFmtId="49" fontId="0" fillId="0" borderId="0" xfId="0" applyNumberFormat="1"/>
    <xf numFmtId="0" fontId="0" fillId="0" borderId="0" xfId="0" applyAlignment="1">
      <alignment horizontal="right"/>
    </xf>
    <xf numFmtId="0" fontId="0" fillId="0" borderId="6" xfId="0" applyBorder="1"/>
    <xf numFmtId="0" fontId="0" fillId="0" borderId="0" xfId="0" applyAlignment="1">
      <alignment horizontal="center"/>
    </xf>
    <xf numFmtId="8" fontId="0" fillId="0" borderId="0" xfId="0" applyNumberFormat="1"/>
    <xf numFmtId="6" fontId="0" fillId="0" borderId="0" xfId="0" applyNumberFormat="1"/>
    <xf numFmtId="0" fontId="0" fillId="0" borderId="0" xfId="0" applyProtection="1">
      <protection locked="0"/>
    </xf>
    <xf numFmtId="49" fontId="0" fillId="0" borderId="0" xfId="0" applyNumberFormat="1" applyProtection="1">
      <protection locked="0"/>
    </xf>
    <xf numFmtId="49" fontId="0" fillId="0" borderId="5" xfId="0" applyNumberFormat="1" applyBorder="1" applyProtection="1">
      <protection locked="0"/>
    </xf>
    <xf numFmtId="14" fontId="0" fillId="0" borderId="0" xfId="0" applyNumberFormat="1" applyAlignment="1">
      <alignment horizontal="right"/>
    </xf>
    <xf numFmtId="0" fontId="3" fillId="3" borderId="12" xfId="2" applyBorder="1" applyProtection="1">
      <protection locked="0"/>
    </xf>
    <xf numFmtId="0" fontId="0" fillId="0" borderId="11" xfId="0" applyBorder="1" applyProtection="1">
      <protection locked="0"/>
    </xf>
    <xf numFmtId="0" fontId="7" fillId="0" borderId="0" xfId="0" applyFont="1" applyProtection="1">
      <protection locked="0"/>
    </xf>
    <xf numFmtId="0" fontId="7" fillId="0" borderId="11" xfId="0" applyFont="1" applyBorder="1" applyProtection="1">
      <protection locked="0"/>
    </xf>
    <xf numFmtId="0" fontId="4" fillId="0" borderId="0" xfId="0" applyFont="1" applyProtection="1">
      <protection locked="0"/>
    </xf>
    <xf numFmtId="0" fontId="8" fillId="3" borderId="19" xfId="2" applyFont="1" applyBorder="1" applyProtection="1"/>
    <xf numFmtId="1" fontId="8" fillId="3" borderId="19" xfId="2" applyNumberFormat="1" applyFont="1" applyBorder="1" applyProtection="1"/>
    <xf numFmtId="0" fontId="8" fillId="4" borderId="1" xfId="3" applyFont="1" applyBorder="1" applyAlignment="1">
      <alignment horizontal="right"/>
    </xf>
    <xf numFmtId="0" fontId="8" fillId="3" borderId="0" xfId="2" applyFont="1" applyBorder="1" applyProtection="1"/>
    <xf numFmtId="164" fontId="8" fillId="3" borderId="0" xfId="2" applyNumberFormat="1" applyFont="1" applyBorder="1" applyProtection="1"/>
    <xf numFmtId="165" fontId="8" fillId="3" borderId="0" xfId="2" applyNumberFormat="1" applyFont="1" applyBorder="1" applyProtection="1"/>
    <xf numFmtId="0" fontId="0" fillId="0" borderId="18" xfId="0" applyBorder="1"/>
    <xf numFmtId="1" fontId="7" fillId="0" borderId="18" xfId="0" applyNumberFormat="1" applyFont="1" applyBorder="1"/>
    <xf numFmtId="0" fontId="5" fillId="0" borderId="18" xfId="0" applyFont="1" applyBorder="1"/>
    <xf numFmtId="0" fontId="0" fillId="0" borderId="21" xfId="0" applyBorder="1" applyProtection="1">
      <protection locked="0"/>
    </xf>
    <xf numFmtId="0" fontId="0" fillId="0" borderId="23" xfId="0" applyBorder="1" applyProtection="1">
      <protection locked="0"/>
    </xf>
    <xf numFmtId="0" fontId="0" fillId="0" borderId="26" xfId="0" applyBorder="1"/>
    <xf numFmtId="0" fontId="5" fillId="0" borderId="24" xfId="0" applyFont="1" applyBorder="1"/>
    <xf numFmtId="0" fontId="5" fillId="0" borderId="25" xfId="0" applyFont="1" applyBorder="1"/>
    <xf numFmtId="0" fontId="1" fillId="0" borderId="16" xfId="0" applyFont="1" applyBorder="1"/>
    <xf numFmtId="165" fontId="1" fillId="0" borderId="18" xfId="0" applyNumberFormat="1" applyFont="1" applyBorder="1"/>
    <xf numFmtId="165" fontId="1" fillId="0" borderId="15" xfId="0" applyNumberFormat="1" applyFont="1" applyBorder="1"/>
    <xf numFmtId="0" fontId="1" fillId="0" borderId="14" xfId="0" applyFont="1" applyBorder="1"/>
    <xf numFmtId="1" fontId="9" fillId="0" borderId="17" xfId="0" applyNumberFormat="1" applyFont="1" applyBorder="1"/>
    <xf numFmtId="1" fontId="9" fillId="0" borderId="13" xfId="0" applyNumberFormat="1" applyFont="1" applyBorder="1"/>
    <xf numFmtId="0" fontId="7" fillId="0" borderId="21" xfId="0" applyFont="1" applyBorder="1" applyProtection="1">
      <protection locked="0"/>
    </xf>
    <xf numFmtId="0" fontId="7" fillId="0" borderId="23" xfId="0" applyFont="1" applyBorder="1" applyProtection="1">
      <protection locked="0"/>
    </xf>
    <xf numFmtId="49" fontId="0" fillId="0" borderId="23" xfId="0" applyNumberFormat="1" applyBorder="1" applyProtection="1">
      <protection locked="0"/>
    </xf>
    <xf numFmtId="0" fontId="6" fillId="2" borderId="27" xfId="1" applyFont="1" applyBorder="1" applyAlignment="1" applyProtection="1">
      <alignment horizontal="left"/>
    </xf>
    <xf numFmtId="0" fontId="0" fillId="0" borderId="29" xfId="0" applyBorder="1" applyProtection="1">
      <protection locked="0"/>
    </xf>
    <xf numFmtId="49" fontId="0" fillId="0" borderId="11" xfId="0" applyNumberFormat="1" applyBorder="1" applyProtection="1">
      <protection locked="0"/>
    </xf>
    <xf numFmtId="0" fontId="7" fillId="0" borderId="29" xfId="0" applyFont="1" applyBorder="1" applyProtection="1">
      <protection locked="0"/>
    </xf>
    <xf numFmtId="0" fontId="0" fillId="0" borderId="6" xfId="0" applyBorder="1" applyProtection="1">
      <protection locked="0"/>
    </xf>
    <xf numFmtId="0" fontId="8" fillId="4" borderId="2" xfId="3" applyFont="1" applyBorder="1" applyProtection="1"/>
    <xf numFmtId="0" fontId="8" fillId="4" borderId="4" xfId="3" applyFont="1" applyBorder="1" applyAlignment="1" applyProtection="1">
      <alignment horizontal="right"/>
    </xf>
    <xf numFmtId="0" fontId="9" fillId="3" borderId="2" xfId="2" applyFont="1" applyBorder="1" applyProtection="1"/>
    <xf numFmtId="0" fontId="9" fillId="3" borderId="3" xfId="2" applyFont="1" applyBorder="1" applyProtection="1"/>
    <xf numFmtId="0" fontId="9" fillId="3" borderId="4" xfId="2" applyFont="1" applyBorder="1" applyProtection="1"/>
    <xf numFmtId="0" fontId="8" fillId="4" borderId="4" xfId="3" applyFont="1" applyBorder="1" applyProtection="1"/>
    <xf numFmtId="0" fontId="3" fillId="3" borderId="5" xfId="2" applyBorder="1" applyProtection="1">
      <protection locked="0"/>
    </xf>
    <xf numFmtId="0" fontId="3" fillId="3" borderId="0" xfId="2" applyBorder="1" applyProtection="1">
      <protection locked="0"/>
    </xf>
    <xf numFmtId="0" fontId="3" fillId="3" borderId="1" xfId="2" applyBorder="1" applyAlignment="1" applyProtection="1">
      <alignment horizontal="left"/>
      <protection locked="0"/>
    </xf>
    <xf numFmtId="0" fontId="3" fillId="3" borderId="11" xfId="2" applyBorder="1" applyProtection="1">
      <protection locked="0"/>
    </xf>
    <xf numFmtId="0" fontId="3" fillId="3" borderId="0" xfId="2" applyProtection="1">
      <protection locked="0"/>
    </xf>
    <xf numFmtId="0" fontId="3" fillId="3" borderId="30" xfId="2" applyBorder="1" applyProtection="1">
      <protection locked="0"/>
    </xf>
    <xf numFmtId="0" fontId="3" fillId="3" borderId="23" xfId="2" applyBorder="1" applyProtection="1">
      <protection locked="0"/>
    </xf>
    <xf numFmtId="0" fontId="3" fillId="3" borderId="22" xfId="2" applyBorder="1" applyProtection="1">
      <protection locked="0"/>
    </xf>
    <xf numFmtId="0" fontId="3" fillId="3" borderId="21" xfId="2" applyBorder="1" applyProtection="1">
      <protection locked="0"/>
    </xf>
    <xf numFmtId="0" fontId="3" fillId="3" borderId="29" xfId="2" applyBorder="1" applyProtection="1">
      <protection locked="0"/>
    </xf>
    <xf numFmtId="0" fontId="6" fillId="2" borderId="32" xfId="1" applyFont="1" applyBorder="1" applyAlignment="1" applyProtection="1">
      <alignment horizontal="left"/>
    </xf>
    <xf numFmtId="49" fontId="8" fillId="3" borderId="0" xfId="2" applyNumberFormat="1" applyFont="1" applyBorder="1" applyProtection="1"/>
    <xf numFmtId="49" fontId="8" fillId="3" borderId="19" xfId="2" applyNumberFormat="1" applyFont="1" applyBorder="1" applyProtection="1"/>
    <xf numFmtId="0" fontId="8" fillId="4" borderId="1" xfId="3" applyFont="1" applyBorder="1"/>
    <xf numFmtId="0" fontId="0" fillId="0" borderId="1" xfId="0" applyBorder="1" applyAlignment="1">
      <alignment wrapText="1"/>
    </xf>
    <xf numFmtId="10" fontId="0" fillId="0" borderId="1" xfId="0" applyNumberFormat="1" applyBorder="1"/>
    <xf numFmtId="10" fontId="0" fillId="0" borderId="1" xfId="0" applyNumberFormat="1" applyBorder="1" applyProtection="1">
      <protection locked="0"/>
    </xf>
    <xf numFmtId="0" fontId="0" fillId="0" borderId="34" xfId="0" applyBorder="1"/>
    <xf numFmtId="0" fontId="0" fillId="0" borderId="35" xfId="0" applyBorder="1"/>
    <xf numFmtId="0" fontId="3" fillId="3" borderId="6" xfId="2" applyBorder="1" applyAlignment="1">
      <alignment horizontal="center"/>
    </xf>
    <xf numFmtId="0" fontId="11" fillId="4" borderId="3" xfId="3" applyFont="1" applyBorder="1" applyProtection="1"/>
    <xf numFmtId="0" fontId="10" fillId="0" borderId="0" xfId="0" applyFont="1"/>
    <xf numFmtId="0" fontId="10" fillId="0" borderId="0" xfId="0" applyFont="1" applyProtection="1">
      <protection locked="0"/>
    </xf>
    <xf numFmtId="0" fontId="6" fillId="2" borderId="28" xfId="1" applyFont="1" applyBorder="1" applyAlignment="1" applyProtection="1">
      <alignment horizontal="left"/>
    </xf>
    <xf numFmtId="0" fontId="7" fillId="2" borderId="9" xfId="1" applyFont="1" applyBorder="1" applyProtection="1"/>
    <xf numFmtId="0" fontId="7" fillId="2" borderId="8" xfId="1" applyFont="1" applyBorder="1" applyProtection="1"/>
    <xf numFmtId="0" fontId="7" fillId="2" borderId="12" xfId="1" applyFont="1" applyBorder="1" applyProtection="1"/>
    <xf numFmtId="49" fontId="7" fillId="2" borderId="7" xfId="1" applyNumberFormat="1" applyFont="1" applyBorder="1" applyProtection="1"/>
    <xf numFmtId="0" fontId="3" fillId="4" borderId="2" xfId="3" applyBorder="1" applyAlignment="1">
      <alignment vertical="top"/>
    </xf>
    <xf numFmtId="0" fontId="3" fillId="4" borderId="3" xfId="3" applyBorder="1" applyAlignment="1">
      <alignment vertical="top"/>
    </xf>
    <xf numFmtId="0" fontId="3" fillId="4" borderId="4" xfId="3" applyBorder="1" applyAlignment="1">
      <alignment vertical="top"/>
    </xf>
    <xf numFmtId="0" fontId="3" fillId="3" borderId="0" xfId="2" applyBorder="1" applyAlignment="1"/>
    <xf numFmtId="0" fontId="3" fillId="3" borderId="8" xfId="2" applyBorder="1" applyAlignment="1"/>
    <xf numFmtId="0" fontId="9" fillId="0" borderId="0" xfId="0" applyFont="1"/>
    <xf numFmtId="0" fontId="7" fillId="0" borderId="0" xfId="0" applyFont="1"/>
    <xf numFmtId="0" fontId="3" fillId="3" borderId="33" xfId="2" applyBorder="1" applyAlignment="1">
      <alignment horizontal="center"/>
    </xf>
    <xf numFmtId="0" fontId="3" fillId="3" borderId="36" xfId="2" applyBorder="1" applyAlignment="1">
      <alignment horizontal="center"/>
    </xf>
    <xf numFmtId="0" fontId="3" fillId="3" borderId="9" xfId="2" applyBorder="1" applyAlignment="1">
      <alignment horizontal="center"/>
    </xf>
    <xf numFmtId="49" fontId="0" fillId="0" borderId="16" xfId="0" applyNumberFormat="1" applyBorder="1" applyProtection="1">
      <protection locked="0"/>
    </xf>
    <xf numFmtId="0" fontId="0" fillId="0" borderId="18" xfId="0" applyBorder="1" applyProtection="1">
      <protection locked="0"/>
    </xf>
    <xf numFmtId="0" fontId="9" fillId="3" borderId="11" xfId="2" applyFont="1" applyBorder="1" applyProtection="1"/>
    <xf numFmtId="0" fontId="7" fillId="0" borderId="5" xfId="0" applyFont="1" applyBorder="1"/>
    <xf numFmtId="49" fontId="0" fillId="0" borderId="16" xfId="0" applyNumberFormat="1" applyBorder="1"/>
    <xf numFmtId="0" fontId="10" fillId="0" borderId="18" xfId="0" applyFont="1" applyBorder="1"/>
    <xf numFmtId="0" fontId="7" fillId="2" borderId="7" xfId="1" applyFont="1" applyBorder="1" applyAlignment="1" applyProtection="1">
      <alignment horizontal="left"/>
    </xf>
    <xf numFmtId="14" fontId="10" fillId="0" borderId="0" xfId="0" applyNumberFormat="1" applyFont="1" applyProtection="1">
      <protection locked="0"/>
    </xf>
    <xf numFmtId="0" fontId="8" fillId="2" borderId="2" xfId="1" applyFont="1" applyBorder="1" applyProtection="1">
      <protection locked="0"/>
    </xf>
    <xf numFmtId="0" fontId="8" fillId="2" borderId="3" xfId="1" applyFont="1" applyBorder="1" applyProtection="1">
      <protection locked="0"/>
    </xf>
    <xf numFmtId="0" fontId="8" fillId="2" borderId="3" xfId="1" applyFont="1" applyBorder="1" applyAlignment="1" applyProtection="1">
      <alignment horizontal="center"/>
      <protection locked="0"/>
    </xf>
    <xf numFmtId="0" fontId="8" fillId="2" borderId="3" xfId="1" applyFont="1" applyBorder="1" applyAlignment="1">
      <alignment horizontal="right"/>
    </xf>
    <xf numFmtId="0" fontId="8" fillId="2" borderId="4" xfId="1" applyFont="1" applyBorder="1" applyAlignment="1" applyProtection="1">
      <alignment horizontal="center"/>
      <protection locked="0"/>
    </xf>
    <xf numFmtId="0" fontId="3" fillId="3" borderId="6" xfId="2" applyBorder="1" applyProtection="1">
      <protection locked="0"/>
    </xf>
    <xf numFmtId="0" fontId="7" fillId="0" borderId="0" xfId="0" applyFont="1" applyAlignment="1">
      <alignment horizontal="center"/>
    </xf>
    <xf numFmtId="0" fontId="7" fillId="0" borderId="6" xfId="0" applyFont="1" applyBorder="1" applyAlignment="1">
      <alignment horizontal="left"/>
    </xf>
    <xf numFmtId="0" fontId="0" fillId="0" borderId="0" xfId="0" applyAlignment="1" applyProtection="1">
      <alignment horizontal="center"/>
      <protection locked="0"/>
    </xf>
    <xf numFmtId="0" fontId="0" fillId="0" borderId="6" xfId="0" applyBorder="1" applyAlignment="1">
      <alignment horizontal="center"/>
    </xf>
    <xf numFmtId="0" fontId="3" fillId="3" borderId="0" xfId="2" applyBorder="1" applyAlignment="1" applyProtection="1">
      <alignment horizontal="left"/>
      <protection locked="0"/>
    </xf>
    <xf numFmtId="0" fontId="8" fillId="4" borderId="1" xfId="3" applyFont="1" applyBorder="1" applyProtection="1">
      <protection locked="0"/>
    </xf>
    <xf numFmtId="0" fontId="8" fillId="4" borderId="3" xfId="3" applyFont="1" applyBorder="1" applyProtection="1">
      <protection locked="0"/>
    </xf>
    <xf numFmtId="0" fontId="8" fillId="4" borderId="3" xfId="3" applyFont="1" applyBorder="1" applyAlignment="1" applyProtection="1">
      <alignment horizontal="center"/>
      <protection locked="0"/>
    </xf>
    <xf numFmtId="0" fontId="8" fillId="4" borderId="4" xfId="3" applyFont="1" applyBorder="1" applyAlignment="1" applyProtection="1">
      <alignment horizontal="center"/>
      <protection locked="0"/>
    </xf>
    <xf numFmtId="0" fontId="8" fillId="0" borderId="1" xfId="0" applyFont="1" applyBorder="1"/>
    <xf numFmtId="0" fontId="12" fillId="5" borderId="37" xfId="4" applyFont="1" applyAlignment="1">
      <alignment horizontal="center" vertical="top" wrapText="1"/>
    </xf>
    <xf numFmtId="0" fontId="12" fillId="0" borderId="0" xfId="0" applyFont="1"/>
    <xf numFmtId="0" fontId="3" fillId="3" borderId="20" xfId="2" applyBorder="1" applyProtection="1">
      <protection locked="0"/>
    </xf>
    <xf numFmtId="0" fontId="3" fillId="3" borderId="31" xfId="2" applyBorder="1" applyProtection="1">
      <protection locked="0"/>
    </xf>
    <xf numFmtId="165" fontId="3" fillId="3" borderId="0" xfId="2" applyNumberFormat="1" applyBorder="1" applyAlignment="1" applyProtection="1">
      <alignment horizontal="center"/>
    </xf>
    <xf numFmtId="1" fontId="9" fillId="0" borderId="18" xfId="0" applyNumberFormat="1" applyFont="1" applyBorder="1"/>
    <xf numFmtId="165" fontId="9" fillId="0" borderId="15" xfId="0" applyNumberFormat="1" applyFont="1" applyBorder="1"/>
    <xf numFmtId="0" fontId="3" fillId="2" borderId="16" xfId="1" applyBorder="1" applyProtection="1"/>
    <xf numFmtId="1" fontId="3" fillId="2" borderId="18" xfId="1" applyNumberFormat="1" applyBorder="1" applyProtection="1"/>
    <xf numFmtId="165" fontId="3" fillId="2" borderId="15" xfId="1" applyNumberFormat="1" applyBorder="1" applyProtection="1"/>
    <xf numFmtId="1" fontId="8" fillId="0" borderId="1" xfId="0" applyNumberFormat="1" applyFont="1" applyBorder="1"/>
    <xf numFmtId="0" fontId="9" fillId="0" borderId="18" xfId="0" applyFont="1" applyBorder="1"/>
    <xf numFmtId="0" fontId="15" fillId="6" borderId="18" xfId="5" applyFont="1" applyBorder="1" applyProtection="1">
      <protection locked="0"/>
    </xf>
    <xf numFmtId="0" fontId="3" fillId="3" borderId="10" xfId="2" applyBorder="1" applyAlignment="1">
      <alignment horizontal="center"/>
    </xf>
    <xf numFmtId="0" fontId="3" fillId="3" borderId="5" xfId="2" applyBorder="1" applyAlignment="1">
      <alignment horizontal="center"/>
    </xf>
    <xf numFmtId="0" fontId="3" fillId="3" borderId="7" xfId="2" applyBorder="1" applyAlignment="1">
      <alignment horizontal="center"/>
    </xf>
    <xf numFmtId="0" fontId="3" fillId="3" borderId="0" xfId="2" applyBorder="1" applyAlignment="1">
      <alignment horizontal="center"/>
    </xf>
    <xf numFmtId="165" fontId="3" fillId="3" borderId="0" xfId="2" applyNumberFormat="1" applyAlignment="1" applyProtection="1">
      <alignment horizontal="center"/>
      <protection locked="0"/>
    </xf>
    <xf numFmtId="0" fontId="8" fillId="4" borderId="1" xfId="3" applyFont="1" applyBorder="1"/>
    <xf numFmtId="0" fontId="3" fillId="3" borderId="0" xfId="2" applyBorder="1" applyAlignment="1" applyProtection="1">
      <alignment horizontal="center"/>
      <protection locked="0"/>
    </xf>
    <xf numFmtId="0" fontId="3" fillId="3" borderId="0" xfId="2" applyAlignment="1">
      <alignment horizontal="center"/>
    </xf>
    <xf numFmtId="0" fontId="3" fillId="3" borderId="6" xfId="2" applyBorder="1" applyAlignment="1">
      <alignment horizontal="center"/>
    </xf>
  </cellXfs>
  <cellStyles count="6">
    <cellStyle name="20 % - Aksentti6" xfId="2" builtinId="50"/>
    <cellStyle name="40 % - Aksentti6" xfId="1" builtinId="51"/>
    <cellStyle name="60 % - Aksentti6" xfId="3" builtinId="52"/>
    <cellStyle name="Huomautus" xfId="4" builtinId="10"/>
    <cellStyle name="Huono" xfId="5" builtinId="27"/>
    <cellStyle name="Normaali" xfId="0" builtinId="0"/>
  </cellStyles>
  <dxfs count="66">
    <dxf>
      <alignment horizontal="center" vertical="bottom" textRotation="0" wrapText="0" indent="0" justifyLastLine="0" shrinkToFit="0" readingOrder="0"/>
      <protection locked="1" hidden="0"/>
    </dxf>
    <dxf>
      <numFmt numFmtId="0" formatCode="General"/>
      <protection locked="1" hidden="0"/>
    </dxf>
    <dxf>
      <alignment horizontal="center" vertical="bottom" textRotation="0" wrapText="0" indent="0" justifyLastLine="0" shrinkToFit="0" readingOrder="0"/>
      <protection locked="0" hidden="0"/>
    </dxf>
    <dxf>
      <protection locked="0" hidden="0"/>
    </dxf>
    <dxf>
      <protection locked="0" hidden="0"/>
    </dxf>
    <dxf>
      <numFmt numFmtId="30" formatCode="@"/>
      <protection locked="0" hidden="0"/>
    </dxf>
    <dxf>
      <font>
        <strike val="0"/>
        <outline val="0"/>
        <shadow val="0"/>
        <u val="none"/>
        <vertAlign val="baseline"/>
        <sz val="11"/>
        <color auto="1"/>
        <name val="Calibri"/>
        <family val="2"/>
        <scheme val="minor"/>
      </font>
      <protection locked="1" hidden="0"/>
    </dxf>
    <dxf>
      <fill>
        <patternFill>
          <bgColor theme="9"/>
        </patternFill>
      </fill>
    </dxf>
    <dxf>
      <fill>
        <patternFill>
          <bgColor rgb="FFFF0000"/>
        </patternFill>
      </fill>
    </dxf>
    <dxf>
      <font>
        <color rgb="FF00B050"/>
      </font>
    </dxf>
    <dxf>
      <font>
        <b/>
        <i val="0"/>
        <color theme="9"/>
      </font>
    </dxf>
    <dxf>
      <font>
        <b/>
        <i val="0"/>
        <color rgb="FFFF0000"/>
      </font>
    </dxf>
    <dxf>
      <numFmt numFmtId="30" formatCode="@"/>
      <protection locked="0" hidden="0"/>
    </dxf>
    <dxf>
      <numFmt numFmtId="30" formatCode="@"/>
      <protection locked="0" hidden="0"/>
    </dxf>
    <dxf>
      <border>
        <bottom style="thin">
          <color theme="9"/>
        </bottom>
      </border>
    </dxf>
    <dxf>
      <font>
        <b/>
        <i val="0"/>
        <strike val="0"/>
        <condense val="0"/>
        <extend val="0"/>
        <outline val="0"/>
        <shadow val="0"/>
        <u val="none"/>
        <vertAlign val="baseline"/>
        <sz val="11"/>
        <color auto="1"/>
        <name val="Calibri"/>
        <family val="2"/>
        <scheme val="minor"/>
      </font>
      <alignment horizontal="left" vertical="bottom" textRotation="0" wrapText="0" indent="0" justifyLastLine="0" shrinkToFit="0" readingOrder="0"/>
      <border diagonalUp="0" diagonalDown="0">
        <left/>
        <right/>
        <top/>
        <bottom/>
        <vertical/>
        <horizontal/>
      </border>
      <protection locked="1" hidden="0"/>
    </dxf>
    <dxf>
      <protection locked="0" hidden="0"/>
    </dxf>
    <dxf>
      <protection locked="0" hidden="0"/>
    </dxf>
    <dxf>
      <protection locked="0" hidden="0"/>
    </dxf>
    <dxf>
      <font>
        <strike val="0"/>
        <outline val="0"/>
        <shadow val="0"/>
        <u val="none"/>
        <vertAlign val="baseline"/>
        <sz val="11"/>
        <color auto="1"/>
        <name val="Calibri"/>
        <family val="2"/>
        <scheme val="minor"/>
      </font>
      <protection locked="0" hidden="0"/>
    </dxf>
    <dxf>
      <font>
        <b val="0"/>
        <i/>
        <strike val="0"/>
        <condense val="0"/>
        <extend val="0"/>
        <outline val="0"/>
        <shadow val="0"/>
        <u val="none"/>
        <vertAlign val="baseline"/>
        <sz val="11"/>
        <color auto="1"/>
        <name val="Calibri"/>
        <family val="2"/>
        <scheme val="minor"/>
      </font>
      <protection locked="0" hidden="0"/>
    </dxf>
    <dxf>
      <font>
        <strike val="0"/>
        <outline val="0"/>
        <shadow val="0"/>
        <u val="none"/>
        <vertAlign val="baseline"/>
        <sz val="11"/>
        <color auto="1"/>
        <name val="Calibri"/>
        <family val="2"/>
        <scheme val="minor"/>
      </font>
      <protection locked="0" hidden="0"/>
    </dxf>
    <dxf>
      <font>
        <strike val="0"/>
        <outline val="0"/>
        <shadow val="0"/>
        <u val="none"/>
        <vertAlign val="baseline"/>
        <sz val="11"/>
        <color auto="1"/>
        <name val="Calibri"/>
        <family val="2"/>
        <scheme val="minor"/>
      </font>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left/>
        <right style="thin">
          <color indexed="64"/>
        </right>
        <top style="thin">
          <color indexed="64"/>
        </top>
        <bottom style="thin">
          <color indexed="64"/>
        </bottom>
        <vertical/>
        <horizontal/>
      </border>
      <protection locked="0" hidden="0"/>
    </dxf>
    <dxf>
      <border outline="0">
        <left style="thin">
          <color indexed="64"/>
        </left>
        <top style="thin">
          <color indexed="64"/>
        </top>
      </border>
    </dxf>
    <dxf>
      <protection locked="0" hidden="0"/>
    </dxf>
    <dxf>
      <border>
        <bottom style="thin">
          <color theme="9"/>
        </bottom>
      </border>
    </dxf>
    <dxf>
      <font>
        <b/>
        <i val="0"/>
        <strike val="0"/>
        <condense val="0"/>
        <extend val="0"/>
        <outline val="0"/>
        <shadow val="0"/>
        <u val="none"/>
        <vertAlign val="baseline"/>
        <sz val="11"/>
        <color auto="1"/>
        <name val="Calibri"/>
        <family val="2"/>
        <scheme val="minor"/>
      </font>
      <alignment horizontal="left" vertical="bottom" textRotation="0" wrapText="0" indent="0" justifyLastLine="0" shrinkToFit="0" readingOrder="0"/>
      <border diagonalUp="0" diagonalDown="0">
        <left style="thin">
          <color indexed="64"/>
        </left>
        <right style="thin">
          <color indexed="64"/>
        </right>
        <top/>
        <bottom/>
      </border>
      <protection locked="1" hidden="0"/>
    </dxf>
    <dxf>
      <numFmt numFmtId="165" formatCode="#,##0.00\ &quot;€&quot;"/>
      <border diagonalUp="0" diagonalDown="0">
        <left style="thin">
          <color theme="9"/>
        </left>
        <right/>
        <top style="thin">
          <color theme="9"/>
        </top>
        <bottom style="thin">
          <color theme="9"/>
        </bottom>
        <vertical style="thin">
          <color theme="9"/>
        </vertical>
        <horizontal style="thin">
          <color theme="9"/>
        </horizontal>
      </border>
      <protection locked="1" hidden="0"/>
    </dxf>
    <dxf>
      <border diagonalUp="0" diagonalDown="0">
        <left style="thin">
          <color theme="9"/>
        </left>
        <right style="thin">
          <color theme="9"/>
        </right>
        <top style="thin">
          <color theme="9"/>
        </top>
        <bottom style="thin">
          <color theme="9"/>
        </bottom>
        <vertical style="thin">
          <color theme="9"/>
        </vertical>
        <horizontal style="thin">
          <color theme="9"/>
        </horizontal>
      </border>
      <protection locked="1" hidden="0"/>
    </dxf>
    <dxf>
      <font>
        <b/>
        <i/>
        <strike val="0"/>
        <condense val="0"/>
        <extend val="0"/>
        <outline val="0"/>
        <shadow val="0"/>
        <u val="none"/>
        <vertAlign val="baseline"/>
        <sz val="11"/>
        <color theme="1"/>
        <name val="Calibri"/>
        <family val="2"/>
        <scheme val="minor"/>
      </font>
      <border diagonalUp="0" diagonalDown="0">
        <left/>
        <right style="thin">
          <color theme="9"/>
        </right>
        <top style="thin">
          <color theme="9"/>
        </top>
        <bottom style="thin">
          <color theme="9"/>
        </bottom>
        <vertical style="thin">
          <color theme="9"/>
        </vertical>
        <horizontal style="thin">
          <color theme="9"/>
        </horizontal>
      </border>
      <protection locked="1" hidden="0"/>
    </dxf>
    <dxf>
      <border>
        <top style="thin">
          <color theme="9"/>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theme="9"/>
        </bottom>
      </border>
    </dxf>
    <dxf>
      <border diagonalUp="0" diagonalDown="0">
        <left style="thin">
          <color theme="9"/>
        </left>
        <right style="thin">
          <color theme="9"/>
        </right>
        <top/>
        <bottom/>
        <vertical style="thin">
          <color theme="9"/>
        </vertical>
        <horizontal style="thin">
          <color theme="9"/>
        </horizontal>
      </border>
      <protection locked="1" hidden="0"/>
    </dxf>
    <dxf>
      <fill>
        <patternFill>
          <bgColor theme="9"/>
        </patternFill>
      </fill>
    </dxf>
    <dxf>
      <fill>
        <patternFill>
          <bgColor rgb="FFFF0000"/>
        </patternFill>
      </fill>
    </dxf>
    <dxf>
      <protection locked="0" hidden="0"/>
    </dxf>
    <dxf>
      <protection locked="0" hidden="0"/>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protection locked="0" hidden="0"/>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protection locked="0" hidden="0"/>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protection locked="0" hidden="0"/>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protection locked="0" hidden="0"/>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protection locked="0" hidden="0"/>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protection locked="0" hidden="0"/>
    </dxf>
    <dxf>
      <font>
        <b/>
        <i/>
        <strike val="0"/>
        <condense val="0"/>
        <extend val="0"/>
        <outline val="0"/>
        <shadow val="0"/>
        <u val="none"/>
        <vertAlign val="baseline"/>
        <sz val="11"/>
        <color auto="1"/>
        <name val="Calibri"/>
        <family val="2"/>
        <scheme val="minor"/>
      </font>
    </dxf>
    <dxf>
      <font>
        <strike val="0"/>
        <outline val="0"/>
        <shadow val="0"/>
        <u val="none"/>
        <vertAlign val="baseline"/>
        <sz val="11"/>
        <color rgb="FFFF0000"/>
        <name val="Calibri"/>
        <family val="2"/>
        <scheme val="minor"/>
      </font>
      <protection locked="0" hidden="0"/>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border diagonalUp="0" diagonalDown="0" outline="0">
        <left style="thin">
          <color indexed="64"/>
        </left>
        <right style="thin">
          <color indexed="64"/>
        </right>
        <top/>
        <bottom/>
      </border>
      <protection locked="0" hidden="0"/>
    </dxf>
    <dxf>
      <fill>
        <patternFill>
          <bgColor rgb="FFFF0000"/>
        </patternFill>
      </fill>
    </dxf>
    <dxf>
      <fill>
        <patternFill>
          <bgColor theme="9"/>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14</xdr:col>
      <xdr:colOff>198559</xdr:colOff>
      <xdr:row>24</xdr:row>
      <xdr:rowOff>28575</xdr:rowOff>
    </xdr:from>
    <xdr:to>
      <xdr:col>14</xdr:col>
      <xdr:colOff>1781174</xdr:colOff>
      <xdr:row>32</xdr:row>
      <xdr:rowOff>109639</xdr:rowOff>
    </xdr:to>
    <xdr:pic>
      <xdr:nvPicPr>
        <xdr:cNvPr id="2" name="Kuva 1">
          <a:extLst>
            <a:ext uri="{FF2B5EF4-FFF2-40B4-BE49-F238E27FC236}">
              <a16:creationId xmlns:a16="http://schemas.microsoft.com/office/drawing/2014/main" id="{48967362-242E-4191-A8E2-45BAB0DD670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305334" y="4600575"/>
          <a:ext cx="1582615" cy="1605064"/>
        </a:xfrm>
        <a:prstGeom prst="rect">
          <a:avLst/>
        </a:prstGeom>
      </xdr:spPr>
    </xdr:pic>
    <xdr:clientData/>
  </xdr:twoCellAnchor>
  <xdr:twoCellAnchor>
    <xdr:from>
      <xdr:col>14</xdr:col>
      <xdr:colOff>114300</xdr:colOff>
      <xdr:row>3</xdr:row>
      <xdr:rowOff>19049</xdr:rowOff>
    </xdr:from>
    <xdr:to>
      <xdr:col>14</xdr:col>
      <xdr:colOff>1790700</xdr:colOff>
      <xdr:row>22</xdr:row>
      <xdr:rowOff>180975</xdr:rowOff>
    </xdr:to>
    <xdr:sp macro="" textlink="">
      <xdr:nvSpPr>
        <xdr:cNvPr id="3" name="Tekstiruutu 2">
          <a:extLst>
            <a:ext uri="{FF2B5EF4-FFF2-40B4-BE49-F238E27FC236}">
              <a16:creationId xmlns:a16="http://schemas.microsoft.com/office/drawing/2014/main" id="{DB7DB24D-DFAE-05F2-6EC2-2DB3C3603D8B}"/>
            </a:ext>
          </a:extLst>
        </xdr:cNvPr>
        <xdr:cNvSpPr txBox="1"/>
      </xdr:nvSpPr>
      <xdr:spPr>
        <a:xfrm>
          <a:off x="16221075" y="590549"/>
          <a:ext cx="1676400" cy="378142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a:t>* Täytä</a:t>
          </a:r>
          <a:r>
            <a:rPr lang="fi-FI" sz="1100" baseline="0"/>
            <a:t> Organisaatio, Asiakas, Tuotetunnus, Kerrat/12kk, á hinta ja sopimuksen päättymispäivä (00/00/0000-muodossa), kun </a:t>
          </a:r>
          <a:r>
            <a:rPr lang="fi-FI" sz="1100" u="sng" baseline="0"/>
            <a:t>asiakas/sopimus on varmistunut.</a:t>
          </a:r>
          <a:endParaRPr lang="fi-FI" sz="1100" baseline="0"/>
        </a:p>
        <a:p>
          <a:endParaRPr lang="fi-FI" sz="1100" baseline="0"/>
        </a:p>
        <a:p>
          <a:r>
            <a:rPr lang="fi-FI" sz="1100" baseline="0"/>
            <a:t>*Valitse sopimuksen vaihe alasvetovalikosta</a:t>
          </a:r>
        </a:p>
        <a:p>
          <a:endParaRPr lang="fi-FI" sz="1100" baseline="0"/>
        </a:p>
        <a:p>
          <a:r>
            <a:rPr lang="fi-FI" sz="1100" baseline="0"/>
            <a:t>*Lisää sopimuksen sijainti omalla verkkolevylläsi</a:t>
          </a:r>
        </a:p>
        <a:p>
          <a:endParaRPr lang="fi-FI" sz="1100" baseline="0"/>
        </a:p>
        <a:p>
          <a:r>
            <a:rPr lang="fi-FI" sz="1100" baseline="0"/>
            <a:t>*Organisaatio, Asiakas ja Sopimuksen päättymispäivä siirtyy Myyntiennuste- välilehdelle Toteutunut myynti-riville</a:t>
          </a:r>
        </a:p>
        <a:p>
          <a:endParaRPr lang="fi-FI" sz="1100" baseline="0"/>
        </a:p>
        <a:p>
          <a:endParaRPr lang="fi-FI" sz="1100" baseline="0"/>
        </a:p>
        <a:p>
          <a:endParaRPr lang="fi-FI" sz="1100" baseline="0"/>
        </a:p>
        <a:p>
          <a:endParaRPr lang="fi-FI"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857250</xdr:colOff>
      <xdr:row>14</xdr:row>
      <xdr:rowOff>57150</xdr:rowOff>
    </xdr:from>
    <xdr:to>
      <xdr:col>12</xdr:col>
      <xdr:colOff>379095</xdr:colOff>
      <xdr:row>22</xdr:row>
      <xdr:rowOff>152400</xdr:rowOff>
    </xdr:to>
    <xdr:pic>
      <xdr:nvPicPr>
        <xdr:cNvPr id="3" name="Kuva 2">
          <a:extLst>
            <a:ext uri="{FF2B5EF4-FFF2-40B4-BE49-F238E27FC236}">
              <a16:creationId xmlns:a16="http://schemas.microsoft.com/office/drawing/2014/main" id="{A4042C1E-04ED-453B-8518-62ED3CD656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06300" y="1390650"/>
          <a:ext cx="2007870" cy="1619250"/>
        </a:xfrm>
        <a:prstGeom prst="rect">
          <a:avLst/>
        </a:prstGeom>
      </xdr:spPr>
    </xdr:pic>
    <xdr:clientData/>
  </xdr:twoCellAnchor>
  <xdr:twoCellAnchor>
    <xdr:from>
      <xdr:col>11</xdr:col>
      <xdr:colOff>247650</xdr:colOff>
      <xdr:row>24</xdr:row>
      <xdr:rowOff>180975</xdr:rowOff>
    </xdr:from>
    <xdr:to>
      <xdr:col>14</xdr:col>
      <xdr:colOff>361950</xdr:colOff>
      <xdr:row>37</xdr:row>
      <xdr:rowOff>104774</xdr:rowOff>
    </xdr:to>
    <xdr:sp macro="" textlink="">
      <xdr:nvSpPr>
        <xdr:cNvPr id="2" name="Tekstiruutu 1">
          <a:extLst>
            <a:ext uri="{FF2B5EF4-FFF2-40B4-BE49-F238E27FC236}">
              <a16:creationId xmlns:a16="http://schemas.microsoft.com/office/drawing/2014/main" id="{B930DB1C-0351-3157-6D74-E2EC08D88C52}"/>
            </a:ext>
          </a:extLst>
        </xdr:cNvPr>
        <xdr:cNvSpPr txBox="1"/>
      </xdr:nvSpPr>
      <xdr:spPr>
        <a:xfrm>
          <a:off x="11696700" y="3419475"/>
          <a:ext cx="3800475" cy="2400299"/>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a:t>*Toteutunut</a:t>
          </a:r>
          <a:r>
            <a:rPr lang="fi-FI" sz="1100" baseline="0"/>
            <a:t> myynti- rivin tiedot tulevat suoraan</a:t>
          </a:r>
          <a:r>
            <a:rPr lang="fi-FI" sz="1100"/>
            <a:t> Sopimukset-välilehdeltä. Tämä pitää sisällään kaikki jo tekemäsi myynnin, mikäli olet ne Sopimukset-välilehdelle</a:t>
          </a:r>
          <a:r>
            <a:rPr lang="fi-FI" sz="1100" baseline="0"/>
            <a:t> kirjannut.</a:t>
          </a:r>
          <a:endParaRPr lang="fi-FI" sz="1100"/>
        </a:p>
        <a:p>
          <a:endParaRPr lang="fi-FI" sz="1100"/>
        </a:p>
        <a:p>
          <a:r>
            <a:rPr lang="fi-FI" sz="1100"/>
            <a:t>*Täytä</a:t>
          </a:r>
          <a:r>
            <a:rPr lang="fi-FI" sz="1100" baseline="0"/>
            <a:t> p</a:t>
          </a:r>
          <a:r>
            <a:rPr lang="fi-FI" sz="1100"/>
            <a:t>unaisella</a:t>
          </a:r>
          <a:r>
            <a:rPr lang="fi-FI" sz="1100" baseline="0"/>
            <a:t> pohjalla olevat Määrä, á hinta (ei sis. alv.) ja kesto sarakkeet potentiaalisen asiakkaan tiedoilla. Tietojen ei tarvitse olla vielä varmoja, mutta arvioi mistä saat tulevat kaupat. </a:t>
          </a:r>
        </a:p>
        <a:p>
          <a:endParaRPr lang="fi-FI" sz="1100" baseline="0"/>
        </a:p>
        <a:p>
          <a:r>
            <a:rPr lang="fi-FI" sz="1100" baseline="0"/>
            <a:t>*Taulukko laskee muut tiedot automaattisesti.</a:t>
          </a:r>
        </a:p>
        <a:p>
          <a:endParaRPr lang="fi-FI" sz="1100" baseline="0"/>
        </a:p>
        <a:p>
          <a:r>
            <a:rPr lang="fi-FI" sz="1100" baseline="0"/>
            <a:t>*Toteutunut sopimus/myynti siirtyy automaattisesti Sopimukset ja tot.myynti välilehdeltä ensimmäiselle riville.</a:t>
          </a:r>
        </a:p>
        <a:p>
          <a:endParaRPr lang="fi-FI"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342901</xdr:colOff>
      <xdr:row>1</xdr:row>
      <xdr:rowOff>9527</xdr:rowOff>
    </xdr:from>
    <xdr:to>
      <xdr:col>8</xdr:col>
      <xdr:colOff>76200</xdr:colOff>
      <xdr:row>6</xdr:row>
      <xdr:rowOff>16125</xdr:rowOff>
    </xdr:to>
    <xdr:pic>
      <xdr:nvPicPr>
        <xdr:cNvPr id="2" name="Kuva 1">
          <a:extLst>
            <a:ext uri="{FF2B5EF4-FFF2-40B4-BE49-F238E27FC236}">
              <a16:creationId xmlns:a16="http://schemas.microsoft.com/office/drawing/2014/main" id="{95D6EE3A-560E-4210-AAD6-673BFB7C2A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1" y="200027"/>
          <a:ext cx="952499" cy="959098"/>
        </a:xfrm>
        <a:prstGeom prst="rect">
          <a:avLst/>
        </a:prstGeom>
      </xdr:spPr>
    </xdr:pic>
    <xdr:clientData/>
  </xdr:twoCellAnchor>
  <xdr:twoCellAnchor>
    <xdr:from>
      <xdr:col>6</xdr:col>
      <xdr:colOff>314325</xdr:colOff>
      <xdr:row>8</xdr:row>
      <xdr:rowOff>161925</xdr:rowOff>
    </xdr:from>
    <xdr:to>
      <xdr:col>10</xdr:col>
      <xdr:colOff>476250</xdr:colOff>
      <xdr:row>22</xdr:row>
      <xdr:rowOff>114300</xdr:rowOff>
    </xdr:to>
    <xdr:sp macro="" textlink="">
      <xdr:nvSpPr>
        <xdr:cNvPr id="3" name="Tekstiruutu 2">
          <a:extLst>
            <a:ext uri="{FF2B5EF4-FFF2-40B4-BE49-F238E27FC236}">
              <a16:creationId xmlns:a16="http://schemas.microsoft.com/office/drawing/2014/main" id="{50C44CC9-B34F-EFA5-B56E-2A61B6C09C74}"/>
            </a:ext>
          </a:extLst>
        </xdr:cNvPr>
        <xdr:cNvSpPr txBox="1"/>
      </xdr:nvSpPr>
      <xdr:spPr>
        <a:xfrm>
          <a:off x="6143625" y="1495425"/>
          <a:ext cx="2600325" cy="26193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a:t>*Täytä</a:t>
          </a:r>
          <a:r>
            <a:rPr lang="fi-FI" sz="1100" baseline="0"/>
            <a:t> siirtyvä pääoma edellisvuodelta, mikäli sinulla on sellaista. Muuten täytä arvo 0.</a:t>
          </a:r>
        </a:p>
        <a:p>
          <a:endParaRPr lang="fi-FI" sz="1100" baseline="0"/>
        </a:p>
        <a:p>
          <a:r>
            <a:rPr lang="fi-FI" sz="1100" baseline="0"/>
            <a:t>*</a:t>
          </a:r>
          <a:r>
            <a:rPr lang="fi-FI" sz="1100"/>
            <a:t>Täytä</a:t>
          </a:r>
          <a:r>
            <a:rPr lang="fi-FI" sz="1100" baseline="0"/>
            <a:t> arviosi kuukausimenoista sarakkeeseen E (punaiset luvut)</a:t>
          </a:r>
        </a:p>
        <a:p>
          <a:endParaRPr lang="fi-FI" sz="1100" baseline="0"/>
        </a:p>
        <a:p>
          <a:r>
            <a:rPr lang="fi-FI" sz="1100" baseline="0"/>
            <a:t>*Asiakastyö tänä vuonna tulee Myyntiennuste-välilehdeltä</a:t>
          </a:r>
        </a:p>
        <a:p>
          <a:endParaRPr lang="fi-FI" sz="1100" baseline="0"/>
        </a:p>
        <a:p>
          <a:r>
            <a:rPr lang="fi-FI" sz="1100" baseline="0"/>
            <a:t>*Tulos lasketaan automaattisesti</a:t>
          </a:r>
        </a:p>
        <a:p>
          <a:endParaRPr lang="fi-FI" sz="1100" baseline="0"/>
        </a:p>
        <a:p>
          <a:r>
            <a:rPr lang="fi-FI" sz="1100" baseline="0"/>
            <a:t>*Syötä veroprosenttisi verokorttisi mukaan</a:t>
          </a:r>
          <a:endParaRPr lang="fi-FI"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284285</xdr:colOff>
      <xdr:row>2</xdr:row>
      <xdr:rowOff>28575</xdr:rowOff>
    </xdr:from>
    <xdr:to>
      <xdr:col>7</xdr:col>
      <xdr:colOff>1581150</xdr:colOff>
      <xdr:row>8</xdr:row>
      <xdr:rowOff>142874</xdr:rowOff>
    </xdr:to>
    <xdr:pic>
      <xdr:nvPicPr>
        <xdr:cNvPr id="2" name="Kuva 1">
          <a:extLst>
            <a:ext uri="{FF2B5EF4-FFF2-40B4-BE49-F238E27FC236}">
              <a16:creationId xmlns:a16="http://schemas.microsoft.com/office/drawing/2014/main" id="{E0509A4D-C693-4F13-BD48-9D46C30A26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209710" y="409575"/>
          <a:ext cx="1296865" cy="125729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Kristina Lamberg" id="{052DB219-F185-4BCF-BA03-12BDA9766E4E}" userId="205247e7cad6cbc1"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9E3081-1275-4100-AAC6-E52CB015606C}" name="Taulukko1" displayName="Taulukko1" ref="B3:N102" totalsRowCount="1" headerRowDxfId="62" headerRowBorderDxfId="61" tableBorderDxfId="60" headerRowCellStyle="40 % - Aksentti6" dataCellStyle="Normaali">
  <autoFilter ref="B3:N101" xr:uid="{C89E3081-1275-4100-AAC6-E52CB015606C}"/>
  <tableColumns count="13">
    <tableColumn id="1" xr3:uid="{3FB99A35-8A95-42BE-B044-B7F1DCDBF4CD}" name="Organisaatio" totalsRowLabel="Kaikki yhteensä" dataDxfId="59" totalsRowDxfId="58" dataCellStyle="Normaali"/>
    <tableColumn id="8" xr3:uid="{34EA222D-98D3-4AEA-B586-380266951A47}" name="Asiakas" dataDxfId="57" totalsRowDxfId="56" dataCellStyle="Normaali"/>
    <tableColumn id="2" xr3:uid="{A557CD9E-AE34-40C7-90D1-03673D486915}" name="Tuotetunnus" dataDxfId="55" totalsRowDxfId="54" dataCellStyle="Normaali"/>
    <tableColumn id="3" xr3:uid="{5FF7357C-8879-4363-9A8B-3670413E1101}" name="Määrä/12kk" totalsRowFunction="sum" dataDxfId="53" totalsRowDxfId="52" dataCellStyle="Normaali"/>
    <tableColumn id="4" xr3:uid="{0B8CC5FC-2E4C-44D2-A8F3-40A49123F9DD}" name="á hinta (ei sis. alv.)" dataDxfId="51" totalsRowDxfId="50" dataCellStyle="Normaali"/>
    <tableColumn id="5" xr3:uid="{39F05E91-0EA7-4C0D-958E-A88B23E88A2B}" name="á hinta (sis. alv.)" dataDxfId="49" totalsRowDxfId="48">
      <calculatedColumnFormula>Taulukko1[[#This Row],[á hinta (ei sis. alv.)]]*1.255</calculatedColumnFormula>
    </tableColumn>
    <tableColumn id="13" xr3:uid="{510E5E9F-C9B6-4AE3-B0B3-573756F7565E}" name="kesto min." dataDxfId="47" totalsRowDxfId="46"/>
    <tableColumn id="12" xr3:uid="{825756B7-0D35-4CF7-9FA7-AEB3A2C6F082}" name="kesto/12kk" totalsRowFunction="sum" dataDxfId="45" totalsRowDxfId="44">
      <calculatedColumnFormula>Taulukko1[[#This Row],[Määrä/12kk]]*Taulukko1[[#This Row],[kesto min.]]</calculatedColumnFormula>
    </tableColumn>
    <tableColumn id="11" xr3:uid="{CC225332-3C26-4FB3-BCE7-2AA40F6EE3F8}" name="kesto/1kk" dataDxfId="43" totalsRowDxfId="42">
      <calculatedColumnFormula>Taulukko1[[#This Row],[kesto/12kk]]/12</calculatedColumnFormula>
    </tableColumn>
    <tableColumn id="6" xr3:uid="{D9590181-E457-4EBA-9295-0755D7A69AFB}" name="hinta yht." totalsRowFunction="sum" dataCellStyle="Normaali"/>
    <tableColumn id="7" xr3:uid="{08A3B35B-3B7F-451F-AF01-22D17526C271}" name="Sopimuksen päättymispäivä" dataDxfId="41" totalsRowDxfId="40" dataCellStyle="Normaali"/>
    <tableColumn id="9" xr3:uid="{170A11C4-92E0-49EE-B32E-EEDA7DD1A715}" name="Sopimus  " dataDxfId="39" dataCellStyle="Normaali"/>
    <tableColumn id="10" xr3:uid="{B31BD372-6E20-4B59-9051-0B42F9C2A810}" name="Sopimuksen sijainti" dataDxfId="38" dataCellStyle="Normaali"/>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C620B86-D28F-4324-A682-E776E7FE34DD}" name="Taulukko4" displayName="Taulukko4" ref="L3:N12" totalsRowShown="0" headerRowDxfId="35" dataDxfId="33" headerRowBorderDxfId="34" tableBorderDxfId="32" totalsRowBorderDxfId="31">
  <autoFilter ref="L3:N12" xr:uid="{CC620B86-D28F-4324-A682-E776E7FE34DD}"/>
  <tableColumns count="3">
    <tableColumn id="1" xr3:uid="{C7BB472D-D234-4B5B-B915-EDA4959E63ED}" name=" " dataDxfId="30"/>
    <tableColumn id="3" xr3:uid="{D40EAE74-F08C-4CAD-9E69-3F7F319ECF46}" name="vuodessa" dataDxfId="29">
      <calculatedColumnFormula>H101</calculatedColumnFormula>
    </tableColumn>
    <tableColumn id="4" xr3:uid="{ACA8BA6F-0340-4A91-84BC-728B520E98C4}" name="kuukaudessa" dataDxfId="28">
      <calculatedColumnFormula>Taulukko4[[#This Row],[vuodessa]]/12</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E727C9-7618-4F4C-AFB0-593CB0B65922}" name="Taulukko5" displayName="Taulukko5" ref="C3:J102" totalsRowShown="0" headerRowDxfId="27" dataDxfId="25" headerRowBorderDxfId="26" tableBorderDxfId="24" headerRowCellStyle="40 % - Aksentti6">
  <autoFilter ref="C3:J102" xr:uid="{A1E727C9-7618-4F4C-AFB0-593CB0B65922}"/>
  <tableColumns count="8">
    <tableColumn id="1" xr3:uid="{FEC1DAFE-81C3-43F3-95FF-F49640D44E4B}" name="Asiakas" dataDxfId="23" dataCellStyle="20 % - Aksentti6"/>
    <tableColumn id="2" xr3:uid="{46BB8CF7-425E-4732-A1C4-A83A82582A67}" name=" Määrä" dataDxfId="22"/>
    <tableColumn id="3" xr3:uid="{BB436EEA-CC92-405C-9828-D75236C73433}" name="á hinta (ei sis. alv.)" dataDxfId="21"/>
    <tableColumn id="10" xr3:uid="{1B469047-2BD2-444C-9063-E8F715F72EAB}" name="á hinta (sis. alv.)" dataDxfId="20"/>
    <tableColumn id="4" xr3:uid="{9D140476-8631-448A-9DEE-EA31B9230123}" name="kesto, min" dataDxfId="19"/>
    <tableColumn id="5" xr3:uid="{9EC20696-60AC-48B9-A478-C64EB71DA1B3}" name="kesto/12 kk" dataDxfId="18"/>
    <tableColumn id="6" xr3:uid="{9A5F1C2C-6E74-43D1-84C9-05143824BC2B}" name="kesto/1 kk" dataDxfId="17"/>
    <tableColumn id="7" xr3:uid="{842091F8-EE6B-45D6-B948-E3D02786A569}" name="yhteensä €/v" dataDxfId="16"/>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E31201-C1AD-493E-B744-81AB7620F907}" name="Taulukko6" displayName="Taulukko6" ref="B3:B102" totalsRowShown="0" headerRowDxfId="15" dataDxfId="13" headerRowBorderDxfId="14" headerRowCellStyle="40 % - Aksentti6">
  <autoFilter ref="B3:B102" xr:uid="{7CE31201-C1AD-493E-B744-81AB7620F907}"/>
  <tableColumns count="1">
    <tableColumn id="1" xr3:uid="{9070901A-118A-49CD-858E-67D636409324}" name="Organisaatio" dataDxfId="12">
      <calculatedColumnFormula>Taulukko1[[#This Row],[Organisaatio]]</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B99720-6F50-47EF-9E41-DCDCC03F143D}" name="Taulukko3" displayName="Taulukko3" ref="C10:H88" totalsRowShown="0" headerRowDxfId="6">
  <autoFilter ref="C10:H88" xr:uid="{B5B99720-6F50-47EF-9E41-DCDCC03F143D}"/>
  <tableColumns count="6">
    <tableColumn id="1" xr3:uid="{270142B0-77CF-41BE-819A-9C4EEFA11DFD}" name="Päivämäärä" dataDxfId="5"/>
    <tableColumn id="2" xr3:uid="{7F012C49-6DBD-4EA1-91EC-7D70954511B6}" name="Matkan tarkoitus" dataDxfId="4"/>
    <tableColumn id="3" xr3:uid="{8AD616CD-BA86-4A92-A0A0-17ABF0FACEBC}" name="Matkareitti" dataDxfId="3"/>
    <tableColumn id="4" xr3:uid="{921F2A53-D77B-4D73-99C5-6B7C902CDBBC}" name=" Määrä" dataDxfId="2"/>
    <tableColumn id="5" xr3:uid="{248747C2-79A6-4F82-9887-C4D9425EC87A}" name="Yhteensä" dataDxfId="1">
      <calculatedColumnFormula>_xlfn.XLOOKUP(H11,Taulukko2[Laji],Taulukko2[Arvo])*F11</calculatedColumnFormula>
    </tableColumn>
    <tableColumn id="6" xr3:uid="{0CE17783-4E93-4492-9F90-43677B6748A2}" name="Valitse kululaji" dataDxfId="0"/>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BF1F38-5B06-4A9F-93CC-7268EFEB90CF}" name="Taulukko2" displayName="Taulukko2" ref="A3:B8" totalsRowShown="0">
  <autoFilter ref="A3:B8" xr:uid="{24BF1F38-5B06-4A9F-93CC-7268EFEB90CF}"/>
  <tableColumns count="2">
    <tableColumn id="1" xr3:uid="{A891A5FF-1972-4278-A02F-30C9354F4D5F}" name="Laji"/>
    <tableColumn id="2" xr3:uid="{EE54DC15-2FC9-4C8F-BC85-60FDF3629741}" name="Arvo"/>
  </tableColumns>
  <tableStyleInfo name="TableStyleLight9" showFirstColumn="0" showLastColumn="0" showRowStripes="1" showColumnStripes="0"/>
</table>
</file>

<file path=xl/theme/theme1.xml><?xml version="1.0" encoding="utf-8"?>
<a:theme xmlns:a="http://schemas.openxmlformats.org/drawingml/2006/main" name="Office 2013 – 2022 -te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4" dT="2025-06-06T12:56:24.86" personId="{052DB219-F185-4BCF-BA03-12BDA9766E4E}" id="{43400045-582A-45B6-862F-707F30EFCA00}">
    <text>Siirtyy ennustevälilehdeltä</text>
  </threadedComment>
</ThreadedComment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46F93-6541-4086-B570-AB1F97F468E8}">
  <sheetPr codeName="Taul7"/>
  <dimension ref="A1"/>
  <sheetViews>
    <sheetView workbookViewId="0"/>
  </sheetViews>
  <sheetFormatPr defaultColWidth="0" defaultRowHeight="21" zeroHeight="1" x14ac:dyDescent="0.35"/>
  <cols>
    <col min="1" max="1" width="153.85546875" style="114" customWidth="1"/>
    <col min="2" max="26" width="9.140625" style="114" hidden="1" customWidth="1"/>
    <col min="27" max="16384" width="9.140625" style="114" hidden="1"/>
  </cols>
  <sheetData>
    <row r="1" spans="1:1" ht="404.25" customHeight="1" x14ac:dyDescent="0.35">
      <c r="A1" s="113" t="s">
        <v>168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CEAE3-D6FA-4537-BA58-BF1FAC75378B}">
  <sheetPr codeName="Taul4"/>
  <dimension ref="A1:P179"/>
  <sheetViews>
    <sheetView topLeftCell="C1" workbookViewId="0">
      <selection activeCell="E6" sqref="E6"/>
    </sheetView>
  </sheetViews>
  <sheetFormatPr defaultColWidth="0" defaultRowHeight="15" zeroHeight="1" x14ac:dyDescent="0.25"/>
  <cols>
    <col min="1" max="1" width="8.7109375" customWidth="1"/>
    <col min="2" max="2" width="16.5703125" customWidth="1"/>
    <col min="3" max="3" width="20.5703125" customWidth="1"/>
    <col min="4" max="4" width="14.7109375" customWidth="1"/>
    <col min="5" max="5" width="14" customWidth="1"/>
    <col min="6" max="6" width="19" customWidth="1"/>
    <col min="7" max="7" width="17.7109375" customWidth="1"/>
    <col min="8" max="8" width="12.5703125" customWidth="1"/>
    <col min="9" max="9" width="14" customWidth="1"/>
    <col min="10" max="10" width="12.85546875" customWidth="1"/>
    <col min="11" max="11" width="12.28515625" customWidth="1"/>
    <col min="12" max="12" width="27.28515625" style="3" customWidth="1"/>
    <col min="13" max="13" width="23.5703125" customWidth="1"/>
    <col min="14" max="14" width="27.7109375" style="2" customWidth="1"/>
    <col min="15" max="15" width="31.85546875" customWidth="1"/>
    <col min="16" max="16" width="21.42578125" hidden="1" customWidth="1"/>
    <col min="17" max="26" width="0.140625" hidden="1" customWidth="1"/>
    <col min="27" max="16384" width="0.140625" hidden="1"/>
  </cols>
  <sheetData>
    <row r="1" spans="1:16" x14ac:dyDescent="0.25">
      <c r="A1" s="126"/>
      <c r="B1" s="129"/>
      <c r="C1" s="129"/>
      <c r="D1" s="129"/>
      <c r="E1" s="129"/>
      <c r="F1" s="129"/>
      <c r="G1" s="129"/>
      <c r="H1" s="129"/>
      <c r="I1" s="129"/>
      <c r="J1" s="129"/>
      <c r="K1" s="129"/>
      <c r="L1" s="129"/>
      <c r="M1" s="129"/>
      <c r="N1" s="129"/>
      <c r="O1" s="129"/>
      <c r="P1" s="86"/>
    </row>
    <row r="2" spans="1:16" x14ac:dyDescent="0.25">
      <c r="A2" s="127"/>
      <c r="B2" s="79" t="s">
        <v>89</v>
      </c>
      <c r="C2" s="80"/>
      <c r="D2" s="80"/>
      <c r="E2" s="80"/>
      <c r="F2" s="80"/>
      <c r="G2" s="80"/>
      <c r="H2" s="80"/>
      <c r="I2" s="80"/>
      <c r="J2" s="80"/>
      <c r="K2" s="80"/>
      <c r="L2" s="80"/>
      <c r="M2" s="80"/>
      <c r="N2" s="80"/>
      <c r="O2" s="81"/>
      <c r="P2" s="70"/>
    </row>
    <row r="3" spans="1:16" x14ac:dyDescent="0.25">
      <c r="A3" s="127"/>
      <c r="B3" s="75" t="s">
        <v>18</v>
      </c>
      <c r="C3" s="76" t="s">
        <v>0</v>
      </c>
      <c r="D3" s="77" t="s">
        <v>112</v>
      </c>
      <c r="E3" s="77" t="s">
        <v>126</v>
      </c>
      <c r="F3" s="77" t="s">
        <v>96</v>
      </c>
      <c r="G3" s="77" t="s">
        <v>109</v>
      </c>
      <c r="H3" s="77" t="s">
        <v>127</v>
      </c>
      <c r="I3" s="77" t="s">
        <v>128</v>
      </c>
      <c r="J3" s="77" t="s">
        <v>129</v>
      </c>
      <c r="K3" s="77" t="s">
        <v>17</v>
      </c>
      <c r="L3" s="95" t="s">
        <v>84</v>
      </c>
      <c r="M3" s="77" t="s">
        <v>19</v>
      </c>
      <c r="N3" s="78" t="s">
        <v>90</v>
      </c>
      <c r="O3" s="87"/>
    </row>
    <row r="4" spans="1:16" x14ac:dyDescent="0.25">
      <c r="A4" s="127"/>
      <c r="B4" s="73" t="s">
        <v>92</v>
      </c>
      <c r="C4" s="73" t="s">
        <v>113</v>
      </c>
      <c r="D4" s="73" t="s">
        <v>93</v>
      </c>
      <c r="E4" s="73">
        <v>100</v>
      </c>
      <c r="F4" s="73">
        <v>90</v>
      </c>
      <c r="G4" s="85">
        <f>Taulukko1[[#This Row],[á hinta (ei sis. alv.)]]*1.255</f>
        <v>112.94999999999999</v>
      </c>
      <c r="H4" s="73">
        <v>90</v>
      </c>
      <c r="I4" s="85">
        <f>Taulukko1[[#This Row],[Määrä/12kk]]*Taulukko1[[#This Row],[kesto min.]]</f>
        <v>9000</v>
      </c>
      <c r="J4" s="85">
        <f>Taulukko1[[#This Row],[kesto/12kk]]/12</f>
        <v>750</v>
      </c>
      <c r="K4">
        <f t="shared" ref="K4:K22" si="0">E4*F4</f>
        <v>9000</v>
      </c>
      <c r="L4" s="96">
        <v>46053</v>
      </c>
      <c r="M4" s="8" t="s">
        <v>87</v>
      </c>
      <c r="N4" s="8" t="s">
        <v>91</v>
      </c>
      <c r="O4" s="87"/>
    </row>
    <row r="5" spans="1:16" x14ac:dyDescent="0.25">
      <c r="A5" s="127"/>
      <c r="B5" s="73" t="s">
        <v>92</v>
      </c>
      <c r="C5" s="73" t="s">
        <v>114</v>
      </c>
      <c r="D5" s="73" t="s">
        <v>115</v>
      </c>
      <c r="E5" s="73">
        <v>10</v>
      </c>
      <c r="F5" s="73">
        <v>380</v>
      </c>
      <c r="G5" s="85">
        <f>Taulukko1[[#This Row],[á hinta (ei sis. alv.)]]*1.255</f>
        <v>476.9</v>
      </c>
      <c r="H5" s="73">
        <v>60</v>
      </c>
      <c r="I5" s="85">
        <f>Taulukko1[[#This Row],[Määrä/12kk]]*Taulukko1[[#This Row],[kesto min.]]</f>
        <v>600</v>
      </c>
      <c r="J5" s="85">
        <f>Taulukko1[[#This Row],[kesto/12kk]]/12</f>
        <v>50</v>
      </c>
      <c r="K5">
        <v>0</v>
      </c>
      <c r="L5" s="96">
        <v>45838</v>
      </c>
      <c r="M5" s="8" t="s">
        <v>88</v>
      </c>
      <c r="N5" s="8" t="s">
        <v>2</v>
      </c>
      <c r="O5" s="87"/>
    </row>
    <row r="6" spans="1:16" x14ac:dyDescent="0.25">
      <c r="A6" s="127"/>
      <c r="B6" s="73" t="s">
        <v>161</v>
      </c>
      <c r="C6" s="73" t="s">
        <v>162</v>
      </c>
      <c r="D6" s="73" t="s">
        <v>67</v>
      </c>
      <c r="E6" s="73">
        <v>20</v>
      </c>
      <c r="F6" s="73">
        <v>129</v>
      </c>
      <c r="G6" s="85">
        <f>Taulukko1[[#This Row],[á hinta (ei sis. alv.)]]*1.255</f>
        <v>161.89499999999998</v>
      </c>
      <c r="H6" s="73">
        <v>0</v>
      </c>
      <c r="I6" s="85">
        <f>Taulukko1[[#This Row],[Määrä/12kk]]*Taulukko1[[#This Row],[kesto min.]]</f>
        <v>0</v>
      </c>
      <c r="J6" s="85">
        <f>Taulukko1[[#This Row],[kesto/12kk]]/12</f>
        <v>0</v>
      </c>
      <c r="K6">
        <f t="shared" si="0"/>
        <v>2580</v>
      </c>
      <c r="L6" s="96">
        <v>45690</v>
      </c>
      <c r="M6" s="8" t="s">
        <v>86</v>
      </c>
      <c r="N6" s="8" t="s">
        <v>2</v>
      </c>
      <c r="O6" s="87"/>
    </row>
    <row r="7" spans="1:16" x14ac:dyDescent="0.25">
      <c r="A7" s="127"/>
      <c r="B7" s="73" t="s">
        <v>35</v>
      </c>
      <c r="C7" s="73" t="s">
        <v>51</v>
      </c>
      <c r="D7" s="73" t="s">
        <v>68</v>
      </c>
      <c r="E7" s="73">
        <v>0</v>
      </c>
      <c r="F7" s="73">
        <v>0</v>
      </c>
      <c r="G7" s="85">
        <f>Taulukko1[[#This Row],[á hinta (ei sis. alv.)]]*1.255</f>
        <v>0</v>
      </c>
      <c r="H7" s="73">
        <v>0</v>
      </c>
      <c r="I7" s="85">
        <f>Taulukko1[[#This Row],[Määrä/12kk]]*Taulukko1[[#This Row],[kesto min.]]</f>
        <v>0</v>
      </c>
      <c r="J7" s="85">
        <f>Taulukko1[[#This Row],[kesto/12kk]]/12</f>
        <v>0</v>
      </c>
      <c r="K7">
        <f t="shared" si="0"/>
        <v>0</v>
      </c>
      <c r="L7" s="96">
        <v>45933</v>
      </c>
      <c r="M7" s="8" t="s">
        <v>87</v>
      </c>
      <c r="N7" s="8" t="s">
        <v>2</v>
      </c>
      <c r="O7" s="87"/>
    </row>
    <row r="8" spans="1:16" x14ac:dyDescent="0.25">
      <c r="A8" s="127"/>
      <c r="B8" s="73" t="s">
        <v>36</v>
      </c>
      <c r="C8" s="73" t="s">
        <v>52</v>
      </c>
      <c r="D8" s="73" t="s">
        <v>69</v>
      </c>
      <c r="E8" s="73">
        <v>0</v>
      </c>
      <c r="F8" s="73">
        <v>0</v>
      </c>
      <c r="G8" s="85">
        <f>Taulukko1[[#This Row],[á hinta (ei sis. alv.)]]*1.255</f>
        <v>0</v>
      </c>
      <c r="H8" s="73">
        <v>0</v>
      </c>
      <c r="I8" s="85">
        <f>Taulukko1[[#This Row],[Määrä/12kk]]*Taulukko1[[#This Row],[kesto min.]]</f>
        <v>0</v>
      </c>
      <c r="J8" s="85">
        <f>Taulukko1[[#This Row],[kesto/12kk]]/12</f>
        <v>0</v>
      </c>
      <c r="K8">
        <f t="shared" si="0"/>
        <v>0</v>
      </c>
      <c r="L8" s="96">
        <v>46057</v>
      </c>
      <c r="M8" s="8" t="s">
        <v>28</v>
      </c>
      <c r="N8" s="8" t="s">
        <v>2</v>
      </c>
      <c r="O8" s="87"/>
    </row>
    <row r="9" spans="1:16" x14ac:dyDescent="0.25">
      <c r="A9" s="127"/>
      <c r="B9" s="73" t="s">
        <v>37</v>
      </c>
      <c r="C9" s="73" t="s">
        <v>53</v>
      </c>
      <c r="D9" s="73" t="s">
        <v>70</v>
      </c>
      <c r="E9" s="73">
        <v>0</v>
      </c>
      <c r="F9" s="73">
        <v>0</v>
      </c>
      <c r="G9" s="85">
        <f>Taulukko1[[#This Row],[á hinta (ei sis. alv.)]]*1.255</f>
        <v>0</v>
      </c>
      <c r="H9" s="73">
        <v>0</v>
      </c>
      <c r="I9" s="85">
        <f>Taulukko1[[#This Row],[Määrä/12kk]]*Taulukko1[[#This Row],[kesto min.]]</f>
        <v>0</v>
      </c>
      <c r="J9" s="85">
        <f>Taulukko1[[#This Row],[kesto/12kk]]/12</f>
        <v>0</v>
      </c>
      <c r="K9">
        <f t="shared" si="0"/>
        <v>0</v>
      </c>
      <c r="L9" s="96">
        <v>45808</v>
      </c>
      <c r="M9" s="8" t="s">
        <v>86</v>
      </c>
      <c r="N9" s="8" t="s">
        <v>2</v>
      </c>
      <c r="O9" s="87"/>
    </row>
    <row r="10" spans="1:16" x14ac:dyDescent="0.25">
      <c r="A10" s="127"/>
      <c r="B10" s="73" t="s">
        <v>38</v>
      </c>
      <c r="C10" s="73" t="s">
        <v>54</v>
      </c>
      <c r="D10" s="73" t="s">
        <v>71</v>
      </c>
      <c r="E10" s="73">
        <v>0</v>
      </c>
      <c r="F10" s="73">
        <v>0</v>
      </c>
      <c r="G10" s="85">
        <f>Taulukko1[[#This Row],[á hinta (ei sis. alv.)]]*1.255</f>
        <v>0</v>
      </c>
      <c r="H10" s="73">
        <v>0</v>
      </c>
      <c r="I10" s="85">
        <f>Taulukko1[[#This Row],[Määrä/12kk]]*Taulukko1[[#This Row],[kesto min.]]</f>
        <v>0</v>
      </c>
      <c r="J10" s="85">
        <f>Taulukko1[[#This Row],[kesto/12kk]]/12</f>
        <v>0</v>
      </c>
      <c r="K10">
        <f t="shared" si="0"/>
        <v>0</v>
      </c>
      <c r="L10" s="73" t="s">
        <v>2</v>
      </c>
      <c r="M10" s="8" t="s">
        <v>28</v>
      </c>
      <c r="N10" s="8"/>
      <c r="O10" s="87"/>
    </row>
    <row r="11" spans="1:16" x14ac:dyDescent="0.25">
      <c r="A11" s="127"/>
      <c r="B11" s="73" t="s">
        <v>39</v>
      </c>
      <c r="C11" s="73" t="s">
        <v>55</v>
      </c>
      <c r="D11" s="73" t="s">
        <v>72</v>
      </c>
      <c r="E11" s="73">
        <v>0</v>
      </c>
      <c r="F11" s="73">
        <v>0</v>
      </c>
      <c r="G11" s="85">
        <f>Taulukko1[[#This Row],[á hinta (ei sis. alv.)]]*1.255</f>
        <v>0</v>
      </c>
      <c r="H11" s="73">
        <v>0</v>
      </c>
      <c r="I11" s="85">
        <f>Taulukko1[[#This Row],[Määrä/12kk]]*Taulukko1[[#This Row],[kesto min.]]</f>
        <v>0</v>
      </c>
      <c r="J11" s="85">
        <f>Taulukko1[[#This Row],[kesto/12kk]]/12</f>
        <v>0</v>
      </c>
      <c r="K11">
        <f t="shared" si="0"/>
        <v>0</v>
      </c>
      <c r="L11" s="73" t="s">
        <v>2</v>
      </c>
      <c r="M11" s="8" t="s">
        <v>28</v>
      </c>
      <c r="N11" s="8" t="s">
        <v>2</v>
      </c>
      <c r="O11" s="87"/>
    </row>
    <row r="12" spans="1:16" x14ac:dyDescent="0.25">
      <c r="A12" s="127"/>
      <c r="B12" s="73" t="s">
        <v>40</v>
      </c>
      <c r="C12" s="73" t="s">
        <v>56</v>
      </c>
      <c r="D12" s="73" t="s">
        <v>73</v>
      </c>
      <c r="E12" s="73">
        <v>0</v>
      </c>
      <c r="F12" s="73">
        <v>0</v>
      </c>
      <c r="G12" s="85">
        <f>Taulukko1[[#This Row],[á hinta (ei sis. alv.)]]*1.255</f>
        <v>0</v>
      </c>
      <c r="H12" s="73">
        <v>0</v>
      </c>
      <c r="I12" s="85">
        <f>Taulukko1[[#This Row],[Määrä/12kk]]*Taulukko1[[#This Row],[kesto min.]]</f>
        <v>0</v>
      </c>
      <c r="J12" s="85">
        <f>Taulukko1[[#This Row],[kesto/12kk]]/12</f>
        <v>0</v>
      </c>
      <c r="K12">
        <f t="shared" si="0"/>
        <v>0</v>
      </c>
      <c r="L12" s="73" t="s">
        <v>2</v>
      </c>
      <c r="M12" s="8" t="s">
        <v>28</v>
      </c>
      <c r="N12" s="8"/>
      <c r="O12" s="87"/>
    </row>
    <row r="13" spans="1:16" x14ac:dyDescent="0.25">
      <c r="A13" s="127"/>
      <c r="B13" s="73" t="s">
        <v>41</v>
      </c>
      <c r="C13" s="73" t="s">
        <v>57</v>
      </c>
      <c r="D13" s="73" t="s">
        <v>74</v>
      </c>
      <c r="E13" s="73">
        <v>0</v>
      </c>
      <c r="F13" s="73">
        <v>0</v>
      </c>
      <c r="G13" s="85">
        <f>Taulukko1[[#This Row],[á hinta (ei sis. alv.)]]*1.255</f>
        <v>0</v>
      </c>
      <c r="H13" s="73">
        <v>0</v>
      </c>
      <c r="I13" s="85">
        <f>Taulukko1[[#This Row],[Määrä/12kk]]*Taulukko1[[#This Row],[kesto min.]]</f>
        <v>0</v>
      </c>
      <c r="J13" s="85">
        <f>Taulukko1[[#This Row],[kesto/12kk]]/12</f>
        <v>0</v>
      </c>
      <c r="K13">
        <f t="shared" si="0"/>
        <v>0</v>
      </c>
      <c r="L13" s="73" t="s">
        <v>2</v>
      </c>
      <c r="M13" s="8" t="s">
        <v>28</v>
      </c>
      <c r="N13" s="8"/>
      <c r="O13" s="87"/>
    </row>
    <row r="14" spans="1:16" x14ac:dyDescent="0.25">
      <c r="A14" s="127"/>
      <c r="B14" s="73" t="s">
        <v>42</v>
      </c>
      <c r="C14" s="73" t="s">
        <v>58</v>
      </c>
      <c r="D14" s="73" t="s">
        <v>75</v>
      </c>
      <c r="E14" s="73">
        <v>0</v>
      </c>
      <c r="F14" s="73">
        <v>0</v>
      </c>
      <c r="G14" s="85">
        <f>Taulukko1[[#This Row],[á hinta (ei sis. alv.)]]*1.255</f>
        <v>0</v>
      </c>
      <c r="H14" s="73">
        <v>0</v>
      </c>
      <c r="I14" s="85">
        <f>Taulukko1[[#This Row],[Määrä/12kk]]*Taulukko1[[#This Row],[kesto min.]]</f>
        <v>0</v>
      </c>
      <c r="J14" s="85">
        <f>Taulukko1[[#This Row],[kesto/12kk]]/12</f>
        <v>0</v>
      </c>
      <c r="K14">
        <f t="shared" si="0"/>
        <v>0</v>
      </c>
      <c r="L14" s="73" t="s">
        <v>2</v>
      </c>
      <c r="M14" s="8" t="s">
        <v>28</v>
      </c>
      <c r="N14" s="8"/>
      <c r="O14" s="87"/>
    </row>
    <row r="15" spans="1:16" x14ac:dyDescent="0.25">
      <c r="A15" s="127"/>
      <c r="B15" s="73" t="s">
        <v>43</v>
      </c>
      <c r="C15" s="73" t="s">
        <v>59</v>
      </c>
      <c r="D15" s="73" t="s">
        <v>76</v>
      </c>
      <c r="E15" s="73">
        <v>0</v>
      </c>
      <c r="F15" s="73">
        <v>0</v>
      </c>
      <c r="G15" s="85">
        <f>Taulukko1[[#This Row],[á hinta (ei sis. alv.)]]*1.255</f>
        <v>0</v>
      </c>
      <c r="H15" s="73">
        <v>0</v>
      </c>
      <c r="I15" s="85">
        <f>Taulukko1[[#This Row],[Määrä/12kk]]*Taulukko1[[#This Row],[kesto min.]]</f>
        <v>0</v>
      </c>
      <c r="J15" s="85">
        <f>Taulukko1[[#This Row],[kesto/12kk]]/12</f>
        <v>0</v>
      </c>
      <c r="K15">
        <f t="shared" si="0"/>
        <v>0</v>
      </c>
      <c r="L15" s="73" t="s">
        <v>2</v>
      </c>
      <c r="M15" s="8" t="s">
        <v>28</v>
      </c>
      <c r="N15" s="8"/>
      <c r="O15" s="87"/>
    </row>
    <row r="16" spans="1:16" x14ac:dyDescent="0.25">
      <c r="A16" s="127"/>
      <c r="B16" s="73" t="s">
        <v>44</v>
      </c>
      <c r="C16" s="73" t="s">
        <v>60</v>
      </c>
      <c r="D16" s="73" t="s">
        <v>77</v>
      </c>
      <c r="E16" s="73">
        <v>0</v>
      </c>
      <c r="F16" s="73">
        <v>0</v>
      </c>
      <c r="G16" s="85">
        <f>Taulukko1[[#This Row],[á hinta (ei sis. alv.)]]*1.255</f>
        <v>0</v>
      </c>
      <c r="H16" s="73">
        <v>0</v>
      </c>
      <c r="I16" s="85">
        <f>Taulukko1[[#This Row],[Määrä/12kk]]*Taulukko1[[#This Row],[kesto min.]]</f>
        <v>0</v>
      </c>
      <c r="J16" s="85">
        <f>Taulukko1[[#This Row],[kesto/12kk]]/12</f>
        <v>0</v>
      </c>
      <c r="K16">
        <f t="shared" si="0"/>
        <v>0</v>
      </c>
      <c r="L16" s="73" t="s">
        <v>2</v>
      </c>
      <c r="M16" s="8" t="s">
        <v>28</v>
      </c>
      <c r="N16" s="8" t="s">
        <v>2</v>
      </c>
      <c r="O16" s="87"/>
    </row>
    <row r="17" spans="1:15" x14ac:dyDescent="0.25">
      <c r="A17" s="127"/>
      <c r="B17" s="73" t="s">
        <v>45</v>
      </c>
      <c r="C17" s="73" t="s">
        <v>61</v>
      </c>
      <c r="D17" s="73" t="s">
        <v>78</v>
      </c>
      <c r="E17" s="73">
        <v>0</v>
      </c>
      <c r="F17" s="73">
        <v>0</v>
      </c>
      <c r="G17" s="85">
        <f>Taulukko1[[#This Row],[á hinta (ei sis. alv.)]]*1.255</f>
        <v>0</v>
      </c>
      <c r="H17" s="73">
        <v>0</v>
      </c>
      <c r="I17" s="85">
        <f>Taulukko1[[#This Row],[Määrä/12kk]]*Taulukko1[[#This Row],[kesto min.]]</f>
        <v>0</v>
      </c>
      <c r="J17" s="85">
        <f>Taulukko1[[#This Row],[kesto/12kk]]/12</f>
        <v>0</v>
      </c>
      <c r="K17">
        <f t="shared" si="0"/>
        <v>0</v>
      </c>
      <c r="L17" s="73" t="s">
        <v>2</v>
      </c>
      <c r="M17" s="8" t="s">
        <v>28</v>
      </c>
      <c r="N17" s="8"/>
      <c r="O17" s="87"/>
    </row>
    <row r="18" spans="1:15" x14ac:dyDescent="0.25">
      <c r="A18" s="127"/>
      <c r="B18" s="73" t="s">
        <v>46</v>
      </c>
      <c r="C18" s="73" t="s">
        <v>62</v>
      </c>
      <c r="D18" s="73" t="s">
        <v>79</v>
      </c>
      <c r="E18" s="73">
        <v>0</v>
      </c>
      <c r="F18" s="73">
        <v>0</v>
      </c>
      <c r="G18" s="85">
        <f>Taulukko1[[#This Row],[á hinta (ei sis. alv.)]]*1.255</f>
        <v>0</v>
      </c>
      <c r="H18" s="73">
        <v>0</v>
      </c>
      <c r="I18" s="85">
        <f>Taulukko1[[#This Row],[Määrä/12kk]]*Taulukko1[[#This Row],[kesto min.]]</f>
        <v>0</v>
      </c>
      <c r="J18" s="85">
        <f>Taulukko1[[#This Row],[kesto/12kk]]/12</f>
        <v>0</v>
      </c>
      <c r="K18">
        <f t="shared" si="0"/>
        <v>0</v>
      </c>
      <c r="L18" s="73" t="s">
        <v>2</v>
      </c>
      <c r="M18" s="8" t="s">
        <v>28</v>
      </c>
      <c r="N18" s="8"/>
      <c r="O18" s="87"/>
    </row>
    <row r="19" spans="1:15" x14ac:dyDescent="0.25">
      <c r="A19" s="127"/>
      <c r="B19" s="73" t="s">
        <v>47</v>
      </c>
      <c r="C19" s="73" t="s">
        <v>63</v>
      </c>
      <c r="D19" s="73" t="s">
        <v>80</v>
      </c>
      <c r="E19" s="73">
        <v>0</v>
      </c>
      <c r="F19" s="73">
        <v>0</v>
      </c>
      <c r="G19" s="85">
        <f>Taulukko1[[#This Row],[á hinta (ei sis. alv.)]]*1.255</f>
        <v>0</v>
      </c>
      <c r="H19" s="73">
        <v>0</v>
      </c>
      <c r="I19" s="85">
        <f>Taulukko1[[#This Row],[Määrä/12kk]]*Taulukko1[[#This Row],[kesto min.]]</f>
        <v>0</v>
      </c>
      <c r="J19" s="85">
        <f>Taulukko1[[#This Row],[kesto/12kk]]/12</f>
        <v>0</v>
      </c>
      <c r="K19">
        <f t="shared" si="0"/>
        <v>0</v>
      </c>
      <c r="L19" s="73" t="s">
        <v>2</v>
      </c>
      <c r="M19" s="8" t="s">
        <v>28</v>
      </c>
      <c r="N19" s="8"/>
      <c r="O19" s="87"/>
    </row>
    <row r="20" spans="1:15" x14ac:dyDescent="0.25">
      <c r="A20" s="127"/>
      <c r="B20" s="73" t="s">
        <v>48</v>
      </c>
      <c r="C20" s="73" t="s">
        <v>64</v>
      </c>
      <c r="D20" s="73" t="s">
        <v>81</v>
      </c>
      <c r="E20" s="73">
        <v>0</v>
      </c>
      <c r="F20" s="73">
        <v>0</v>
      </c>
      <c r="G20" s="85">
        <f>Taulukko1[[#This Row],[á hinta (ei sis. alv.)]]*1.255</f>
        <v>0</v>
      </c>
      <c r="H20" s="73">
        <v>0</v>
      </c>
      <c r="I20" s="85">
        <f>Taulukko1[[#This Row],[Määrä/12kk]]*Taulukko1[[#This Row],[kesto min.]]</f>
        <v>0</v>
      </c>
      <c r="J20" s="85">
        <f>Taulukko1[[#This Row],[kesto/12kk]]/12</f>
        <v>0</v>
      </c>
      <c r="K20">
        <f t="shared" si="0"/>
        <v>0</v>
      </c>
      <c r="L20" s="73" t="s">
        <v>2</v>
      </c>
      <c r="M20" s="8" t="s">
        <v>28</v>
      </c>
      <c r="N20" s="8"/>
      <c r="O20" s="87"/>
    </row>
    <row r="21" spans="1:15" x14ac:dyDescent="0.25">
      <c r="A21" s="127"/>
      <c r="B21" s="73" t="s">
        <v>49</v>
      </c>
      <c r="C21" s="73" t="s">
        <v>65</v>
      </c>
      <c r="D21" s="73" t="s">
        <v>82</v>
      </c>
      <c r="E21" s="73">
        <v>0</v>
      </c>
      <c r="F21" s="73">
        <v>0</v>
      </c>
      <c r="G21" s="85">
        <f>Taulukko1[[#This Row],[á hinta (ei sis. alv.)]]*1.255</f>
        <v>0</v>
      </c>
      <c r="H21" s="73">
        <v>0</v>
      </c>
      <c r="I21" s="85">
        <f>Taulukko1[[#This Row],[Määrä/12kk]]*Taulukko1[[#This Row],[kesto min.]]</f>
        <v>0</v>
      </c>
      <c r="J21" s="85">
        <f>Taulukko1[[#This Row],[kesto/12kk]]/12</f>
        <v>0</v>
      </c>
      <c r="K21">
        <f t="shared" si="0"/>
        <v>0</v>
      </c>
      <c r="L21" s="73" t="s">
        <v>2</v>
      </c>
      <c r="M21" s="8" t="s">
        <v>28</v>
      </c>
      <c r="N21" s="8" t="s">
        <v>2</v>
      </c>
      <c r="O21" s="87"/>
    </row>
    <row r="22" spans="1:15" x14ac:dyDescent="0.25">
      <c r="A22" s="127"/>
      <c r="B22" s="73" t="s">
        <v>50</v>
      </c>
      <c r="C22" s="73" t="s">
        <v>66</v>
      </c>
      <c r="D22" s="73" t="s">
        <v>83</v>
      </c>
      <c r="E22" s="73">
        <v>0</v>
      </c>
      <c r="F22" s="73">
        <v>0</v>
      </c>
      <c r="G22" s="85">
        <f>Taulukko1[[#This Row],[á hinta (ei sis. alv.)]]*1.255</f>
        <v>0</v>
      </c>
      <c r="H22" s="73">
        <v>0</v>
      </c>
      <c r="I22" s="85">
        <f>Taulukko1[[#This Row],[Määrä/12kk]]*Taulukko1[[#This Row],[kesto min.]]</f>
        <v>0</v>
      </c>
      <c r="J22" s="85">
        <f>Taulukko1[[#This Row],[kesto/12kk]]/12</f>
        <v>0</v>
      </c>
      <c r="K22">
        <f t="shared" si="0"/>
        <v>0</v>
      </c>
      <c r="L22" s="73" t="s">
        <v>2</v>
      </c>
      <c r="M22" s="8" t="s">
        <v>28</v>
      </c>
      <c r="N22" s="8" t="s">
        <v>2</v>
      </c>
      <c r="O22" s="87"/>
    </row>
    <row r="23" spans="1:15" x14ac:dyDescent="0.25">
      <c r="A23" s="127"/>
      <c r="B23" s="73"/>
      <c r="C23" s="73"/>
      <c r="D23" s="73"/>
      <c r="E23" s="73"/>
      <c r="F23" s="73"/>
      <c r="G23" s="85">
        <f>Taulukko1[[#This Row],[á hinta (ei sis. alv.)]]*1.255</f>
        <v>0</v>
      </c>
      <c r="H23" s="73">
        <v>0</v>
      </c>
      <c r="I23" s="85">
        <f>Taulukko1[[#This Row],[Määrä/12kk]]*Taulukko1[[#This Row],[kesto min.]]</f>
        <v>0</v>
      </c>
      <c r="J23" s="85">
        <f>Taulukko1[[#This Row],[kesto/12kk]]/12</f>
        <v>0</v>
      </c>
      <c r="K23">
        <f t="shared" ref="K23:K54" si="1">E23*F23</f>
        <v>0</v>
      </c>
      <c r="L23" s="73" t="s">
        <v>2</v>
      </c>
      <c r="M23" s="8" t="s">
        <v>28</v>
      </c>
      <c r="N23" s="8"/>
      <c r="O23" s="87"/>
    </row>
    <row r="24" spans="1:15" x14ac:dyDescent="0.25">
      <c r="A24" s="127"/>
      <c r="B24" s="73"/>
      <c r="C24" s="73"/>
      <c r="D24" s="73"/>
      <c r="E24" s="73"/>
      <c r="F24" s="73"/>
      <c r="G24" s="85">
        <f>Taulukko1[[#This Row],[á hinta (ei sis. alv.)]]*1.255</f>
        <v>0</v>
      </c>
      <c r="H24" s="73">
        <v>0</v>
      </c>
      <c r="I24" s="85">
        <f>Taulukko1[[#This Row],[Määrä/12kk]]*Taulukko1[[#This Row],[kesto min.]]</f>
        <v>0</v>
      </c>
      <c r="J24" s="85">
        <f>Taulukko1[[#This Row],[kesto/12kk]]/12</f>
        <v>0</v>
      </c>
      <c r="K24">
        <f t="shared" si="1"/>
        <v>0</v>
      </c>
      <c r="L24" s="73"/>
      <c r="M24" s="8" t="s">
        <v>28</v>
      </c>
      <c r="N24" s="8"/>
      <c r="O24" s="87"/>
    </row>
    <row r="25" spans="1:15" x14ac:dyDescent="0.25">
      <c r="A25" s="127"/>
      <c r="B25" s="73"/>
      <c r="C25" s="73"/>
      <c r="D25" s="73"/>
      <c r="E25" s="73"/>
      <c r="F25" s="73"/>
      <c r="G25" s="85">
        <f>Taulukko1[[#This Row],[á hinta (ei sis. alv.)]]*1.255</f>
        <v>0</v>
      </c>
      <c r="H25" s="73">
        <v>0</v>
      </c>
      <c r="I25" s="85">
        <f>Taulukko1[[#This Row],[Määrä/12kk]]*Taulukko1[[#This Row],[kesto min.]]</f>
        <v>0</v>
      </c>
      <c r="J25" s="85">
        <f>Taulukko1[[#This Row],[kesto/12kk]]/12</f>
        <v>0</v>
      </c>
      <c r="K25">
        <f t="shared" si="1"/>
        <v>0</v>
      </c>
      <c r="L25" s="73"/>
      <c r="M25" s="8" t="s">
        <v>28</v>
      </c>
      <c r="N25" s="8"/>
      <c r="O25" s="87"/>
    </row>
    <row r="26" spans="1:15" x14ac:dyDescent="0.25">
      <c r="A26" s="127"/>
      <c r="B26" s="73"/>
      <c r="C26" s="73"/>
      <c r="D26" s="73"/>
      <c r="E26" s="73"/>
      <c r="F26" s="73"/>
      <c r="G26" s="85">
        <f>Taulukko1[[#This Row],[á hinta (ei sis. alv.)]]*1.255</f>
        <v>0</v>
      </c>
      <c r="H26" s="73">
        <v>0</v>
      </c>
      <c r="I26" s="85">
        <f>Taulukko1[[#This Row],[Määrä/12kk]]*Taulukko1[[#This Row],[kesto min.]]</f>
        <v>0</v>
      </c>
      <c r="J26" s="85">
        <f>Taulukko1[[#This Row],[kesto/12kk]]/12</f>
        <v>0</v>
      </c>
      <c r="K26">
        <f t="shared" si="1"/>
        <v>0</v>
      </c>
      <c r="L26" s="73"/>
      <c r="M26" s="8" t="s">
        <v>28</v>
      </c>
      <c r="N26" s="8"/>
      <c r="O26" s="87"/>
    </row>
    <row r="27" spans="1:15" x14ac:dyDescent="0.25">
      <c r="A27" s="127"/>
      <c r="B27" s="73"/>
      <c r="C27" s="73"/>
      <c r="D27" s="73"/>
      <c r="E27" s="73"/>
      <c r="F27" s="73"/>
      <c r="G27" s="85">
        <f>Taulukko1[[#This Row],[á hinta (ei sis. alv.)]]*1.255</f>
        <v>0</v>
      </c>
      <c r="H27" s="73">
        <v>0</v>
      </c>
      <c r="I27" s="85">
        <f>Taulukko1[[#This Row],[Määrä/12kk]]*Taulukko1[[#This Row],[kesto min.]]</f>
        <v>0</v>
      </c>
      <c r="J27" s="85">
        <f>Taulukko1[[#This Row],[kesto/12kk]]/12</f>
        <v>0</v>
      </c>
      <c r="K27">
        <f t="shared" si="1"/>
        <v>0</v>
      </c>
      <c r="L27" s="73"/>
      <c r="M27" s="8" t="s">
        <v>28</v>
      </c>
      <c r="N27" s="8"/>
      <c r="O27" s="87"/>
    </row>
    <row r="28" spans="1:15" x14ac:dyDescent="0.25">
      <c r="A28" s="127"/>
      <c r="B28" s="73"/>
      <c r="C28" s="73"/>
      <c r="D28" s="73"/>
      <c r="E28" s="73"/>
      <c r="F28" s="73"/>
      <c r="G28" s="85">
        <f>Taulukko1[[#This Row],[á hinta (ei sis. alv.)]]*1.255</f>
        <v>0</v>
      </c>
      <c r="H28" s="73">
        <v>0</v>
      </c>
      <c r="I28" s="85">
        <f>Taulukko1[[#This Row],[Määrä/12kk]]*Taulukko1[[#This Row],[kesto min.]]</f>
        <v>0</v>
      </c>
      <c r="J28" s="85">
        <f>Taulukko1[[#This Row],[kesto/12kk]]/12</f>
        <v>0</v>
      </c>
      <c r="K28">
        <f t="shared" si="1"/>
        <v>0</v>
      </c>
      <c r="L28" s="73"/>
      <c r="M28" s="8" t="s">
        <v>28</v>
      </c>
      <c r="N28" s="8"/>
      <c r="O28" s="87"/>
    </row>
    <row r="29" spans="1:15" x14ac:dyDescent="0.25">
      <c r="A29" s="127"/>
      <c r="B29" s="73"/>
      <c r="C29" s="73"/>
      <c r="D29" s="73"/>
      <c r="E29" s="73"/>
      <c r="F29" s="73"/>
      <c r="G29" s="85">
        <f>Taulukko1[[#This Row],[á hinta (ei sis. alv.)]]*1.255</f>
        <v>0</v>
      </c>
      <c r="H29" s="73">
        <v>0</v>
      </c>
      <c r="I29" s="85">
        <f>Taulukko1[[#This Row],[Määrä/12kk]]*Taulukko1[[#This Row],[kesto min.]]</f>
        <v>0</v>
      </c>
      <c r="J29" s="85">
        <f>Taulukko1[[#This Row],[kesto/12kk]]/12</f>
        <v>0</v>
      </c>
      <c r="K29">
        <f t="shared" si="1"/>
        <v>0</v>
      </c>
      <c r="L29" s="73"/>
      <c r="M29" s="8" t="s">
        <v>28</v>
      </c>
      <c r="N29" s="8"/>
      <c r="O29" s="87"/>
    </row>
    <row r="30" spans="1:15" x14ac:dyDescent="0.25">
      <c r="A30" s="127"/>
      <c r="B30" s="73"/>
      <c r="C30" s="73"/>
      <c r="D30" s="73"/>
      <c r="E30" s="73"/>
      <c r="F30" s="73"/>
      <c r="G30" s="85">
        <f>Taulukko1[[#This Row],[á hinta (ei sis. alv.)]]*1.255</f>
        <v>0</v>
      </c>
      <c r="H30" s="73">
        <v>0</v>
      </c>
      <c r="I30" s="85">
        <f>Taulukko1[[#This Row],[Määrä/12kk]]*Taulukko1[[#This Row],[kesto min.]]</f>
        <v>0</v>
      </c>
      <c r="J30" s="85">
        <f>Taulukko1[[#This Row],[kesto/12kk]]/12</f>
        <v>0</v>
      </c>
      <c r="K30">
        <f t="shared" si="1"/>
        <v>0</v>
      </c>
      <c r="L30" s="73"/>
      <c r="M30" s="8" t="s">
        <v>28</v>
      </c>
      <c r="N30" s="8"/>
      <c r="O30" s="87"/>
    </row>
    <row r="31" spans="1:15" x14ac:dyDescent="0.25">
      <c r="A31" s="127"/>
      <c r="B31" s="73"/>
      <c r="C31" s="73"/>
      <c r="D31" s="73"/>
      <c r="E31" s="73"/>
      <c r="F31" s="73"/>
      <c r="G31" s="85">
        <f>Taulukko1[[#This Row],[á hinta (ei sis. alv.)]]*1.255</f>
        <v>0</v>
      </c>
      <c r="H31" s="73">
        <v>0</v>
      </c>
      <c r="I31" s="85">
        <f>Taulukko1[[#This Row],[Määrä/12kk]]*Taulukko1[[#This Row],[kesto min.]]</f>
        <v>0</v>
      </c>
      <c r="J31" s="85">
        <f>Taulukko1[[#This Row],[kesto/12kk]]/12</f>
        <v>0</v>
      </c>
      <c r="K31">
        <f t="shared" si="1"/>
        <v>0</v>
      </c>
      <c r="L31" s="73"/>
      <c r="M31" s="8" t="s">
        <v>28</v>
      </c>
      <c r="N31" s="8"/>
      <c r="O31" s="87"/>
    </row>
    <row r="32" spans="1:15" x14ac:dyDescent="0.25">
      <c r="A32" s="127"/>
      <c r="B32" s="73"/>
      <c r="C32" s="73"/>
      <c r="D32" s="73"/>
      <c r="E32" s="73"/>
      <c r="F32" s="73"/>
      <c r="G32" s="85">
        <f>Taulukko1[[#This Row],[á hinta (ei sis. alv.)]]*1.255</f>
        <v>0</v>
      </c>
      <c r="H32" s="73">
        <v>0</v>
      </c>
      <c r="I32" s="85">
        <f>Taulukko1[[#This Row],[Määrä/12kk]]*Taulukko1[[#This Row],[kesto min.]]</f>
        <v>0</v>
      </c>
      <c r="J32" s="85">
        <f>Taulukko1[[#This Row],[kesto/12kk]]/12</f>
        <v>0</v>
      </c>
      <c r="K32">
        <f t="shared" si="1"/>
        <v>0</v>
      </c>
      <c r="L32" s="73"/>
      <c r="M32" s="8" t="s">
        <v>28</v>
      </c>
      <c r="N32" s="8"/>
      <c r="O32" s="87"/>
    </row>
    <row r="33" spans="1:15" x14ac:dyDescent="0.25">
      <c r="A33" s="127"/>
      <c r="B33" s="73"/>
      <c r="C33" s="73"/>
      <c r="D33" s="73"/>
      <c r="E33" s="73"/>
      <c r="F33" s="73"/>
      <c r="G33" s="85">
        <f>Taulukko1[[#This Row],[á hinta (ei sis. alv.)]]*1.255</f>
        <v>0</v>
      </c>
      <c r="H33" s="73">
        <v>0</v>
      </c>
      <c r="I33" s="85">
        <f>Taulukko1[[#This Row],[Määrä/12kk]]*Taulukko1[[#This Row],[kesto min.]]</f>
        <v>0</v>
      </c>
      <c r="J33" s="85">
        <f>Taulukko1[[#This Row],[kesto/12kk]]/12</f>
        <v>0</v>
      </c>
      <c r="K33">
        <f t="shared" si="1"/>
        <v>0</v>
      </c>
      <c r="L33" s="73"/>
      <c r="M33" s="8" t="s">
        <v>28</v>
      </c>
      <c r="N33" s="8"/>
      <c r="O33" s="87"/>
    </row>
    <row r="34" spans="1:15" x14ac:dyDescent="0.25">
      <c r="A34" s="127"/>
      <c r="B34" s="73"/>
      <c r="C34" s="73"/>
      <c r="D34" s="73"/>
      <c r="E34" s="73"/>
      <c r="F34" s="73"/>
      <c r="G34" s="85">
        <f>Taulukko1[[#This Row],[á hinta (ei sis. alv.)]]*1.255</f>
        <v>0</v>
      </c>
      <c r="H34" s="73">
        <v>0</v>
      </c>
      <c r="I34" s="85">
        <f>Taulukko1[[#This Row],[Määrä/12kk]]*Taulukko1[[#This Row],[kesto min.]]</f>
        <v>0</v>
      </c>
      <c r="J34" s="85">
        <f>Taulukko1[[#This Row],[kesto/12kk]]/12</f>
        <v>0</v>
      </c>
      <c r="K34">
        <f t="shared" si="1"/>
        <v>0</v>
      </c>
      <c r="L34" s="73"/>
      <c r="M34" s="8" t="s">
        <v>28</v>
      </c>
      <c r="N34" s="8"/>
      <c r="O34" s="87"/>
    </row>
    <row r="35" spans="1:15" x14ac:dyDescent="0.25">
      <c r="A35" s="127"/>
      <c r="B35" s="73"/>
      <c r="C35" s="73"/>
      <c r="D35" s="73"/>
      <c r="E35" s="73"/>
      <c r="F35" s="73"/>
      <c r="G35" s="85">
        <f>Taulukko1[[#This Row],[á hinta (ei sis. alv.)]]*1.255</f>
        <v>0</v>
      </c>
      <c r="H35" s="73">
        <v>0</v>
      </c>
      <c r="I35" s="85">
        <f>Taulukko1[[#This Row],[Määrä/12kk]]*Taulukko1[[#This Row],[kesto min.]]</f>
        <v>0</v>
      </c>
      <c r="J35" s="85">
        <f>Taulukko1[[#This Row],[kesto/12kk]]/12</f>
        <v>0</v>
      </c>
      <c r="K35">
        <f t="shared" si="1"/>
        <v>0</v>
      </c>
      <c r="L35" s="73"/>
      <c r="M35" s="8" t="s">
        <v>28</v>
      </c>
      <c r="N35" s="8"/>
      <c r="O35" s="87"/>
    </row>
    <row r="36" spans="1:15" x14ac:dyDescent="0.25">
      <c r="A36" s="127"/>
      <c r="B36" s="73"/>
      <c r="C36" s="73"/>
      <c r="D36" s="73"/>
      <c r="E36" s="73"/>
      <c r="F36" s="73"/>
      <c r="G36" s="85">
        <f>Taulukko1[[#This Row],[á hinta (ei sis. alv.)]]*1.255</f>
        <v>0</v>
      </c>
      <c r="H36" s="73">
        <v>0</v>
      </c>
      <c r="I36" s="85">
        <f>Taulukko1[[#This Row],[Määrä/12kk]]*Taulukko1[[#This Row],[kesto min.]]</f>
        <v>0</v>
      </c>
      <c r="J36" s="85">
        <f>Taulukko1[[#This Row],[kesto/12kk]]/12</f>
        <v>0</v>
      </c>
      <c r="K36">
        <f t="shared" si="1"/>
        <v>0</v>
      </c>
      <c r="L36" s="73"/>
      <c r="M36" s="8" t="s">
        <v>28</v>
      </c>
      <c r="N36" s="8"/>
      <c r="O36" s="87"/>
    </row>
    <row r="37" spans="1:15" x14ac:dyDescent="0.25">
      <c r="A37" s="127"/>
      <c r="B37" s="73"/>
      <c r="C37" s="73"/>
      <c r="D37" s="73"/>
      <c r="E37" s="73"/>
      <c r="F37" s="73"/>
      <c r="G37" s="85">
        <f>Taulukko1[[#This Row],[á hinta (ei sis. alv.)]]*1.255</f>
        <v>0</v>
      </c>
      <c r="H37" s="73">
        <v>0</v>
      </c>
      <c r="I37" s="85">
        <f>Taulukko1[[#This Row],[Määrä/12kk]]*Taulukko1[[#This Row],[kesto min.]]</f>
        <v>0</v>
      </c>
      <c r="J37" s="85">
        <f>Taulukko1[[#This Row],[kesto/12kk]]/12</f>
        <v>0</v>
      </c>
      <c r="K37">
        <f t="shared" si="1"/>
        <v>0</v>
      </c>
      <c r="L37" s="73"/>
      <c r="M37" s="8" t="s">
        <v>28</v>
      </c>
      <c r="N37" s="8"/>
      <c r="O37" s="87"/>
    </row>
    <row r="38" spans="1:15" x14ac:dyDescent="0.25">
      <c r="A38" s="127"/>
      <c r="B38" s="73"/>
      <c r="C38" s="73"/>
      <c r="D38" s="73"/>
      <c r="E38" s="73"/>
      <c r="F38" s="73"/>
      <c r="G38" s="85">
        <f>Taulukko1[[#This Row],[á hinta (ei sis. alv.)]]*1.255</f>
        <v>0</v>
      </c>
      <c r="H38" s="73">
        <v>0</v>
      </c>
      <c r="I38" s="85">
        <f>Taulukko1[[#This Row],[Määrä/12kk]]*Taulukko1[[#This Row],[kesto min.]]</f>
        <v>0</v>
      </c>
      <c r="J38" s="85">
        <f>Taulukko1[[#This Row],[kesto/12kk]]/12</f>
        <v>0</v>
      </c>
      <c r="K38">
        <f t="shared" si="1"/>
        <v>0</v>
      </c>
      <c r="L38" s="73"/>
      <c r="M38" s="8" t="s">
        <v>28</v>
      </c>
      <c r="N38" s="8"/>
      <c r="O38" s="87"/>
    </row>
    <row r="39" spans="1:15" x14ac:dyDescent="0.25">
      <c r="A39" s="127"/>
      <c r="B39" s="73"/>
      <c r="C39" s="73"/>
      <c r="D39" s="73"/>
      <c r="E39" s="73"/>
      <c r="F39" s="73"/>
      <c r="G39" s="85">
        <f>Taulukko1[[#This Row],[á hinta (ei sis. alv.)]]*1.255</f>
        <v>0</v>
      </c>
      <c r="H39" s="73">
        <v>0</v>
      </c>
      <c r="I39" s="85">
        <f>Taulukko1[[#This Row],[Määrä/12kk]]*Taulukko1[[#This Row],[kesto min.]]</f>
        <v>0</v>
      </c>
      <c r="J39" s="85">
        <f>Taulukko1[[#This Row],[kesto/12kk]]/12</f>
        <v>0</v>
      </c>
      <c r="K39">
        <f t="shared" si="1"/>
        <v>0</v>
      </c>
      <c r="L39" s="73"/>
      <c r="M39" s="8" t="s">
        <v>28</v>
      </c>
      <c r="N39" s="8"/>
      <c r="O39" s="87"/>
    </row>
    <row r="40" spans="1:15" x14ac:dyDescent="0.25">
      <c r="A40" s="127"/>
      <c r="B40" s="73"/>
      <c r="C40" s="73"/>
      <c r="D40" s="73"/>
      <c r="E40" s="73"/>
      <c r="F40" s="73"/>
      <c r="G40" s="85">
        <f>Taulukko1[[#This Row],[á hinta (ei sis. alv.)]]*1.255</f>
        <v>0</v>
      </c>
      <c r="H40" s="73">
        <v>0</v>
      </c>
      <c r="I40" s="85">
        <f>Taulukko1[[#This Row],[Määrä/12kk]]*Taulukko1[[#This Row],[kesto min.]]</f>
        <v>0</v>
      </c>
      <c r="J40" s="85">
        <f>Taulukko1[[#This Row],[kesto/12kk]]/12</f>
        <v>0</v>
      </c>
      <c r="K40">
        <f t="shared" si="1"/>
        <v>0</v>
      </c>
      <c r="L40" s="73"/>
      <c r="M40" s="8" t="s">
        <v>28</v>
      </c>
      <c r="N40" s="8"/>
      <c r="O40" s="87"/>
    </row>
    <row r="41" spans="1:15" x14ac:dyDescent="0.25">
      <c r="A41" s="127"/>
      <c r="B41" s="73"/>
      <c r="C41" s="73"/>
      <c r="D41" s="73"/>
      <c r="E41" s="73"/>
      <c r="F41" s="73"/>
      <c r="G41" s="85">
        <f>Taulukko1[[#This Row],[á hinta (ei sis. alv.)]]*1.255</f>
        <v>0</v>
      </c>
      <c r="H41" s="73">
        <v>0</v>
      </c>
      <c r="I41" s="85">
        <f>Taulukko1[[#This Row],[Määrä/12kk]]*Taulukko1[[#This Row],[kesto min.]]</f>
        <v>0</v>
      </c>
      <c r="J41" s="85">
        <f>Taulukko1[[#This Row],[kesto/12kk]]/12</f>
        <v>0</v>
      </c>
      <c r="K41">
        <f t="shared" si="1"/>
        <v>0</v>
      </c>
      <c r="L41" s="73"/>
      <c r="M41" s="8" t="s">
        <v>28</v>
      </c>
      <c r="N41" s="8"/>
      <c r="O41" s="87"/>
    </row>
    <row r="42" spans="1:15" x14ac:dyDescent="0.25">
      <c r="A42" s="127"/>
      <c r="B42" s="73"/>
      <c r="C42" s="73"/>
      <c r="D42" s="73"/>
      <c r="E42" s="73"/>
      <c r="F42" s="73"/>
      <c r="G42" s="85">
        <f>Taulukko1[[#This Row],[á hinta (ei sis. alv.)]]*1.255</f>
        <v>0</v>
      </c>
      <c r="H42" s="73">
        <v>0</v>
      </c>
      <c r="I42" s="85">
        <f>Taulukko1[[#This Row],[Määrä/12kk]]*Taulukko1[[#This Row],[kesto min.]]</f>
        <v>0</v>
      </c>
      <c r="J42" s="85">
        <f>Taulukko1[[#This Row],[kesto/12kk]]/12</f>
        <v>0</v>
      </c>
      <c r="K42">
        <f t="shared" si="1"/>
        <v>0</v>
      </c>
      <c r="L42" s="73"/>
      <c r="M42" s="8" t="s">
        <v>28</v>
      </c>
      <c r="N42" s="8"/>
      <c r="O42" s="87"/>
    </row>
    <row r="43" spans="1:15" x14ac:dyDescent="0.25">
      <c r="A43" s="127"/>
      <c r="B43" s="73"/>
      <c r="C43" s="73"/>
      <c r="D43" s="73"/>
      <c r="E43" s="73"/>
      <c r="F43" s="73"/>
      <c r="G43" s="85">
        <f>Taulukko1[[#This Row],[á hinta (ei sis. alv.)]]*1.255</f>
        <v>0</v>
      </c>
      <c r="H43" s="73">
        <v>0</v>
      </c>
      <c r="I43" s="85">
        <f>Taulukko1[[#This Row],[Määrä/12kk]]*Taulukko1[[#This Row],[kesto min.]]</f>
        <v>0</v>
      </c>
      <c r="J43" s="85">
        <f>Taulukko1[[#This Row],[kesto/12kk]]/12</f>
        <v>0</v>
      </c>
      <c r="K43">
        <f t="shared" si="1"/>
        <v>0</v>
      </c>
      <c r="L43" s="73"/>
      <c r="M43" s="8" t="s">
        <v>28</v>
      </c>
      <c r="N43" s="8"/>
      <c r="O43" s="87"/>
    </row>
    <row r="44" spans="1:15" x14ac:dyDescent="0.25">
      <c r="A44" s="127"/>
      <c r="B44" s="73"/>
      <c r="C44" s="73"/>
      <c r="D44" s="73"/>
      <c r="E44" s="73"/>
      <c r="F44" s="73"/>
      <c r="G44" s="85">
        <f>Taulukko1[[#This Row],[á hinta (ei sis. alv.)]]*1.255</f>
        <v>0</v>
      </c>
      <c r="H44" s="73">
        <v>0</v>
      </c>
      <c r="I44" s="85">
        <f>Taulukko1[[#This Row],[Määrä/12kk]]*Taulukko1[[#This Row],[kesto min.]]</f>
        <v>0</v>
      </c>
      <c r="J44" s="85">
        <f>Taulukko1[[#This Row],[kesto/12kk]]/12</f>
        <v>0</v>
      </c>
      <c r="K44">
        <f t="shared" si="1"/>
        <v>0</v>
      </c>
      <c r="L44" s="73"/>
      <c r="M44" s="8" t="s">
        <v>28</v>
      </c>
      <c r="N44" s="8"/>
      <c r="O44" s="87"/>
    </row>
    <row r="45" spans="1:15" x14ac:dyDescent="0.25">
      <c r="A45" s="127"/>
      <c r="B45" s="73"/>
      <c r="C45" s="73"/>
      <c r="D45" s="73"/>
      <c r="E45" s="73"/>
      <c r="F45" s="73"/>
      <c r="G45" s="85">
        <f>Taulukko1[[#This Row],[á hinta (ei sis. alv.)]]*1.255</f>
        <v>0</v>
      </c>
      <c r="H45" s="73">
        <v>0</v>
      </c>
      <c r="I45" s="85">
        <f>Taulukko1[[#This Row],[Määrä/12kk]]*Taulukko1[[#This Row],[kesto min.]]</f>
        <v>0</v>
      </c>
      <c r="J45" s="85">
        <f>Taulukko1[[#This Row],[kesto/12kk]]/12</f>
        <v>0</v>
      </c>
      <c r="K45">
        <f t="shared" si="1"/>
        <v>0</v>
      </c>
      <c r="L45" s="73"/>
      <c r="M45" s="8" t="s">
        <v>28</v>
      </c>
      <c r="N45" s="8"/>
      <c r="O45" s="87"/>
    </row>
    <row r="46" spans="1:15" x14ac:dyDescent="0.25">
      <c r="A46" s="127"/>
      <c r="B46" s="73"/>
      <c r="C46" s="73"/>
      <c r="D46" s="73"/>
      <c r="E46" s="73"/>
      <c r="F46" s="73"/>
      <c r="G46" s="85">
        <f>Taulukko1[[#This Row],[á hinta (ei sis. alv.)]]*1.255</f>
        <v>0</v>
      </c>
      <c r="H46" s="73">
        <v>0</v>
      </c>
      <c r="I46" s="85">
        <f>Taulukko1[[#This Row],[Määrä/12kk]]*Taulukko1[[#This Row],[kesto min.]]</f>
        <v>0</v>
      </c>
      <c r="J46" s="85">
        <f>Taulukko1[[#This Row],[kesto/12kk]]/12</f>
        <v>0</v>
      </c>
      <c r="K46">
        <f t="shared" si="1"/>
        <v>0</v>
      </c>
      <c r="L46" s="73"/>
      <c r="M46" s="8" t="s">
        <v>28</v>
      </c>
      <c r="N46" s="8"/>
      <c r="O46" s="87"/>
    </row>
    <row r="47" spans="1:15" x14ac:dyDescent="0.25">
      <c r="A47" s="127"/>
      <c r="B47" s="73"/>
      <c r="C47" s="73"/>
      <c r="D47" s="73"/>
      <c r="E47" s="73"/>
      <c r="F47" s="73"/>
      <c r="G47" s="85">
        <f>Taulukko1[[#This Row],[á hinta (ei sis. alv.)]]*1.255</f>
        <v>0</v>
      </c>
      <c r="H47" s="73">
        <v>0</v>
      </c>
      <c r="I47" s="85">
        <f>Taulukko1[[#This Row],[Määrä/12kk]]*Taulukko1[[#This Row],[kesto min.]]</f>
        <v>0</v>
      </c>
      <c r="J47" s="85">
        <f>Taulukko1[[#This Row],[kesto/12kk]]/12</f>
        <v>0</v>
      </c>
      <c r="K47">
        <f t="shared" si="1"/>
        <v>0</v>
      </c>
      <c r="L47" s="73"/>
      <c r="M47" s="8" t="s">
        <v>28</v>
      </c>
      <c r="N47" s="8"/>
      <c r="O47" s="87"/>
    </row>
    <row r="48" spans="1:15" x14ac:dyDescent="0.25">
      <c r="A48" s="127"/>
      <c r="B48" s="73"/>
      <c r="C48" s="73"/>
      <c r="D48" s="73"/>
      <c r="E48" s="73"/>
      <c r="F48" s="73"/>
      <c r="G48" s="85">
        <f>Taulukko1[[#This Row],[á hinta (ei sis. alv.)]]*1.255</f>
        <v>0</v>
      </c>
      <c r="H48" s="73">
        <v>0</v>
      </c>
      <c r="I48" s="85">
        <f>Taulukko1[[#This Row],[Määrä/12kk]]*Taulukko1[[#This Row],[kesto min.]]</f>
        <v>0</v>
      </c>
      <c r="J48" s="85">
        <f>Taulukko1[[#This Row],[kesto/12kk]]/12</f>
        <v>0</v>
      </c>
      <c r="K48">
        <f t="shared" si="1"/>
        <v>0</v>
      </c>
      <c r="L48" s="73"/>
      <c r="M48" s="8" t="s">
        <v>28</v>
      </c>
      <c r="N48" s="8"/>
      <c r="O48" s="87"/>
    </row>
    <row r="49" spans="1:15" x14ac:dyDescent="0.25">
      <c r="A49" s="127"/>
      <c r="B49" s="73"/>
      <c r="C49" s="73"/>
      <c r="D49" s="73"/>
      <c r="E49" s="73"/>
      <c r="F49" s="73"/>
      <c r="G49" s="85">
        <f>Taulukko1[[#This Row],[á hinta (ei sis. alv.)]]*1.255</f>
        <v>0</v>
      </c>
      <c r="H49" s="73">
        <v>0</v>
      </c>
      <c r="I49" s="85">
        <f>Taulukko1[[#This Row],[Määrä/12kk]]*Taulukko1[[#This Row],[kesto min.]]</f>
        <v>0</v>
      </c>
      <c r="J49" s="85">
        <f>Taulukko1[[#This Row],[kesto/12kk]]/12</f>
        <v>0</v>
      </c>
      <c r="K49">
        <f t="shared" si="1"/>
        <v>0</v>
      </c>
      <c r="L49" s="73"/>
      <c r="M49" s="8" t="s">
        <v>28</v>
      </c>
      <c r="N49" s="8"/>
      <c r="O49" s="87"/>
    </row>
    <row r="50" spans="1:15" x14ac:dyDescent="0.25">
      <c r="A50" s="127"/>
      <c r="B50" s="73"/>
      <c r="C50" s="73"/>
      <c r="D50" s="73"/>
      <c r="E50" s="73"/>
      <c r="F50" s="73"/>
      <c r="G50" s="85">
        <f>Taulukko1[[#This Row],[á hinta (ei sis. alv.)]]*1.255</f>
        <v>0</v>
      </c>
      <c r="H50" s="73">
        <v>0</v>
      </c>
      <c r="I50" s="85">
        <f>Taulukko1[[#This Row],[Määrä/12kk]]*Taulukko1[[#This Row],[kesto min.]]</f>
        <v>0</v>
      </c>
      <c r="J50" s="85">
        <f>Taulukko1[[#This Row],[kesto/12kk]]/12</f>
        <v>0</v>
      </c>
      <c r="K50">
        <f t="shared" si="1"/>
        <v>0</v>
      </c>
      <c r="L50" s="73"/>
      <c r="M50" s="8" t="s">
        <v>28</v>
      </c>
      <c r="N50" s="8"/>
      <c r="O50" s="87"/>
    </row>
    <row r="51" spans="1:15" x14ac:dyDescent="0.25">
      <c r="A51" s="127"/>
      <c r="B51" s="73"/>
      <c r="C51" s="73"/>
      <c r="D51" s="73"/>
      <c r="E51" s="73"/>
      <c r="F51" s="73"/>
      <c r="G51" s="85">
        <f>Taulukko1[[#This Row],[á hinta (ei sis. alv.)]]*1.255</f>
        <v>0</v>
      </c>
      <c r="H51" s="73">
        <v>0</v>
      </c>
      <c r="I51" s="85">
        <f>Taulukko1[[#This Row],[Määrä/12kk]]*Taulukko1[[#This Row],[kesto min.]]</f>
        <v>0</v>
      </c>
      <c r="J51" s="85">
        <f>Taulukko1[[#This Row],[kesto/12kk]]/12</f>
        <v>0</v>
      </c>
      <c r="K51">
        <f t="shared" si="1"/>
        <v>0</v>
      </c>
      <c r="L51" s="73"/>
      <c r="M51" s="8" t="s">
        <v>28</v>
      </c>
      <c r="N51" s="8"/>
      <c r="O51" s="87"/>
    </row>
    <row r="52" spans="1:15" x14ac:dyDescent="0.25">
      <c r="A52" s="127"/>
      <c r="B52" s="73"/>
      <c r="C52" s="73"/>
      <c r="D52" s="73"/>
      <c r="E52" s="73"/>
      <c r="F52" s="73"/>
      <c r="G52" s="85">
        <f>Taulukko1[[#This Row],[á hinta (ei sis. alv.)]]*1.255</f>
        <v>0</v>
      </c>
      <c r="H52" s="73">
        <v>0</v>
      </c>
      <c r="I52" s="85">
        <f>Taulukko1[[#This Row],[Määrä/12kk]]*Taulukko1[[#This Row],[kesto min.]]</f>
        <v>0</v>
      </c>
      <c r="J52" s="85">
        <f>Taulukko1[[#This Row],[kesto/12kk]]/12</f>
        <v>0</v>
      </c>
      <c r="K52">
        <f t="shared" si="1"/>
        <v>0</v>
      </c>
      <c r="L52" s="73"/>
      <c r="M52" s="8" t="s">
        <v>28</v>
      </c>
      <c r="N52" s="8"/>
      <c r="O52" s="87"/>
    </row>
    <row r="53" spans="1:15" x14ac:dyDescent="0.25">
      <c r="A53" s="127"/>
      <c r="B53" s="73"/>
      <c r="C53" s="73"/>
      <c r="D53" s="73"/>
      <c r="E53" s="73"/>
      <c r="F53" s="73"/>
      <c r="G53" s="85">
        <f>Taulukko1[[#This Row],[á hinta (ei sis. alv.)]]*1.255</f>
        <v>0</v>
      </c>
      <c r="H53" s="73">
        <v>0</v>
      </c>
      <c r="I53" s="85">
        <f>Taulukko1[[#This Row],[Määrä/12kk]]*Taulukko1[[#This Row],[kesto min.]]</f>
        <v>0</v>
      </c>
      <c r="J53" s="85">
        <f>Taulukko1[[#This Row],[kesto/12kk]]/12</f>
        <v>0</v>
      </c>
      <c r="K53">
        <f t="shared" si="1"/>
        <v>0</v>
      </c>
      <c r="L53" s="73"/>
      <c r="M53" s="8" t="s">
        <v>28</v>
      </c>
      <c r="N53" s="8"/>
      <c r="O53" s="87"/>
    </row>
    <row r="54" spans="1:15" x14ac:dyDescent="0.25">
      <c r="A54" s="127"/>
      <c r="B54" s="73"/>
      <c r="C54" s="73"/>
      <c r="D54" s="73"/>
      <c r="E54" s="73"/>
      <c r="F54" s="73"/>
      <c r="G54" s="85">
        <f>Taulukko1[[#This Row],[á hinta (ei sis. alv.)]]*1.255</f>
        <v>0</v>
      </c>
      <c r="H54" s="73">
        <v>0</v>
      </c>
      <c r="I54" s="85">
        <f>Taulukko1[[#This Row],[Määrä/12kk]]*Taulukko1[[#This Row],[kesto min.]]</f>
        <v>0</v>
      </c>
      <c r="J54" s="85">
        <f>Taulukko1[[#This Row],[kesto/12kk]]/12</f>
        <v>0</v>
      </c>
      <c r="K54">
        <f t="shared" si="1"/>
        <v>0</v>
      </c>
      <c r="L54" s="73"/>
      <c r="M54" s="8" t="s">
        <v>28</v>
      </c>
      <c r="N54" s="8"/>
      <c r="O54" s="87"/>
    </row>
    <row r="55" spans="1:15" x14ac:dyDescent="0.25">
      <c r="A55" s="127"/>
      <c r="B55" s="73"/>
      <c r="C55" s="73"/>
      <c r="D55" s="73"/>
      <c r="E55" s="73"/>
      <c r="F55" s="73"/>
      <c r="G55" s="85">
        <f>Taulukko1[[#This Row],[á hinta (ei sis. alv.)]]*1.255</f>
        <v>0</v>
      </c>
      <c r="H55" s="73">
        <v>0</v>
      </c>
      <c r="I55" s="85">
        <f>Taulukko1[[#This Row],[Määrä/12kk]]*Taulukko1[[#This Row],[kesto min.]]</f>
        <v>0</v>
      </c>
      <c r="J55" s="85">
        <f>Taulukko1[[#This Row],[kesto/12kk]]/12</f>
        <v>0</v>
      </c>
      <c r="K55">
        <f t="shared" ref="K55:K86" si="2">E55*F55</f>
        <v>0</v>
      </c>
      <c r="L55" s="73"/>
      <c r="M55" s="8" t="s">
        <v>28</v>
      </c>
      <c r="N55" s="8"/>
      <c r="O55" s="87"/>
    </row>
    <row r="56" spans="1:15" x14ac:dyDescent="0.25">
      <c r="A56" s="127"/>
      <c r="B56" s="73"/>
      <c r="C56" s="73"/>
      <c r="D56" s="73"/>
      <c r="E56" s="73"/>
      <c r="F56" s="73"/>
      <c r="G56" s="85">
        <f>Taulukko1[[#This Row],[á hinta (ei sis. alv.)]]*1.255</f>
        <v>0</v>
      </c>
      <c r="H56" s="73">
        <v>0</v>
      </c>
      <c r="I56" s="85">
        <f>Taulukko1[[#This Row],[Määrä/12kk]]*Taulukko1[[#This Row],[kesto min.]]</f>
        <v>0</v>
      </c>
      <c r="J56" s="85">
        <f>Taulukko1[[#This Row],[kesto/12kk]]/12</f>
        <v>0</v>
      </c>
      <c r="K56">
        <f t="shared" si="2"/>
        <v>0</v>
      </c>
      <c r="L56" s="73"/>
      <c r="M56" s="8" t="s">
        <v>28</v>
      </c>
      <c r="N56" s="8"/>
      <c r="O56" s="87"/>
    </row>
    <row r="57" spans="1:15" x14ac:dyDescent="0.25">
      <c r="A57" s="127"/>
      <c r="B57" s="73"/>
      <c r="C57" s="73"/>
      <c r="D57" s="73"/>
      <c r="E57" s="73"/>
      <c r="F57" s="73"/>
      <c r="G57" s="85">
        <f>Taulukko1[[#This Row],[á hinta (ei sis. alv.)]]*1.255</f>
        <v>0</v>
      </c>
      <c r="H57" s="73">
        <v>0</v>
      </c>
      <c r="I57" s="85">
        <f>Taulukko1[[#This Row],[Määrä/12kk]]*Taulukko1[[#This Row],[kesto min.]]</f>
        <v>0</v>
      </c>
      <c r="J57" s="85">
        <f>Taulukko1[[#This Row],[kesto/12kk]]/12</f>
        <v>0</v>
      </c>
      <c r="K57">
        <f t="shared" si="2"/>
        <v>0</v>
      </c>
      <c r="L57" s="73"/>
      <c r="M57" s="8" t="s">
        <v>28</v>
      </c>
      <c r="N57" s="8"/>
      <c r="O57" s="87"/>
    </row>
    <row r="58" spans="1:15" x14ac:dyDescent="0.25">
      <c r="A58" s="127"/>
      <c r="B58" s="73"/>
      <c r="C58" s="73"/>
      <c r="D58" s="73"/>
      <c r="E58" s="73"/>
      <c r="F58" s="73"/>
      <c r="G58" s="85">
        <f>Taulukko1[[#This Row],[á hinta (ei sis. alv.)]]*1.255</f>
        <v>0</v>
      </c>
      <c r="H58" s="73">
        <v>0</v>
      </c>
      <c r="I58" s="85">
        <f>Taulukko1[[#This Row],[Määrä/12kk]]*Taulukko1[[#This Row],[kesto min.]]</f>
        <v>0</v>
      </c>
      <c r="J58" s="85">
        <f>Taulukko1[[#This Row],[kesto/12kk]]/12</f>
        <v>0</v>
      </c>
      <c r="K58">
        <f t="shared" si="2"/>
        <v>0</v>
      </c>
      <c r="L58" s="73"/>
      <c r="M58" s="8" t="s">
        <v>28</v>
      </c>
      <c r="N58" s="8"/>
      <c r="O58" s="87"/>
    </row>
    <row r="59" spans="1:15" x14ac:dyDescent="0.25">
      <c r="A59" s="127"/>
      <c r="B59" s="73"/>
      <c r="C59" s="73"/>
      <c r="D59" s="73"/>
      <c r="E59" s="73"/>
      <c r="F59" s="73"/>
      <c r="G59" s="85">
        <f>Taulukko1[[#This Row],[á hinta (ei sis. alv.)]]*1.255</f>
        <v>0</v>
      </c>
      <c r="H59" s="73">
        <v>0</v>
      </c>
      <c r="I59" s="85">
        <f>Taulukko1[[#This Row],[Määrä/12kk]]*Taulukko1[[#This Row],[kesto min.]]</f>
        <v>0</v>
      </c>
      <c r="J59" s="85">
        <f>Taulukko1[[#This Row],[kesto/12kk]]/12</f>
        <v>0</v>
      </c>
      <c r="K59">
        <f t="shared" si="2"/>
        <v>0</v>
      </c>
      <c r="L59" s="73"/>
      <c r="M59" s="8" t="s">
        <v>28</v>
      </c>
      <c r="N59" s="8"/>
      <c r="O59" s="87"/>
    </row>
    <row r="60" spans="1:15" x14ac:dyDescent="0.25">
      <c r="A60" s="127"/>
      <c r="B60" s="73"/>
      <c r="C60" s="73"/>
      <c r="D60" s="73"/>
      <c r="E60" s="73"/>
      <c r="F60" s="73"/>
      <c r="G60" s="85">
        <f>Taulukko1[[#This Row],[á hinta (ei sis. alv.)]]*1.255</f>
        <v>0</v>
      </c>
      <c r="H60" s="73">
        <v>0</v>
      </c>
      <c r="I60" s="85">
        <f>Taulukko1[[#This Row],[Määrä/12kk]]*Taulukko1[[#This Row],[kesto min.]]</f>
        <v>0</v>
      </c>
      <c r="J60" s="85">
        <f>Taulukko1[[#This Row],[kesto/12kk]]/12</f>
        <v>0</v>
      </c>
      <c r="K60">
        <f t="shared" si="2"/>
        <v>0</v>
      </c>
      <c r="L60" s="73"/>
      <c r="M60" s="8" t="s">
        <v>28</v>
      </c>
      <c r="N60" s="8"/>
      <c r="O60" s="87"/>
    </row>
    <row r="61" spans="1:15" x14ac:dyDescent="0.25">
      <c r="A61" s="127"/>
      <c r="B61" s="73"/>
      <c r="C61" s="73"/>
      <c r="D61" s="73"/>
      <c r="E61" s="73"/>
      <c r="F61" s="73"/>
      <c r="G61" s="85">
        <f>Taulukko1[[#This Row],[á hinta (ei sis. alv.)]]*1.255</f>
        <v>0</v>
      </c>
      <c r="H61" s="73">
        <v>0</v>
      </c>
      <c r="I61" s="85">
        <f>Taulukko1[[#This Row],[Määrä/12kk]]*Taulukko1[[#This Row],[kesto min.]]</f>
        <v>0</v>
      </c>
      <c r="J61" s="85">
        <f>Taulukko1[[#This Row],[kesto/12kk]]/12</f>
        <v>0</v>
      </c>
      <c r="K61">
        <f t="shared" si="2"/>
        <v>0</v>
      </c>
      <c r="L61" s="73"/>
      <c r="M61" s="8" t="s">
        <v>28</v>
      </c>
      <c r="N61" s="8"/>
      <c r="O61" s="87"/>
    </row>
    <row r="62" spans="1:15" x14ac:dyDescent="0.25">
      <c r="A62" s="127"/>
      <c r="B62" s="73"/>
      <c r="C62" s="73"/>
      <c r="D62" s="73"/>
      <c r="E62" s="73"/>
      <c r="F62" s="73"/>
      <c r="G62" s="85">
        <f>Taulukko1[[#This Row],[á hinta (ei sis. alv.)]]*1.255</f>
        <v>0</v>
      </c>
      <c r="H62" s="73">
        <v>0</v>
      </c>
      <c r="I62" s="85">
        <f>Taulukko1[[#This Row],[Määrä/12kk]]*Taulukko1[[#This Row],[kesto min.]]</f>
        <v>0</v>
      </c>
      <c r="J62" s="85">
        <f>Taulukko1[[#This Row],[kesto/12kk]]/12</f>
        <v>0</v>
      </c>
      <c r="K62">
        <f t="shared" si="2"/>
        <v>0</v>
      </c>
      <c r="L62" s="73"/>
      <c r="M62" s="8" t="s">
        <v>28</v>
      </c>
      <c r="N62" s="8"/>
      <c r="O62" s="87"/>
    </row>
    <row r="63" spans="1:15" x14ac:dyDescent="0.25">
      <c r="A63" s="127"/>
      <c r="B63" s="73"/>
      <c r="C63" s="73"/>
      <c r="D63" s="73"/>
      <c r="E63" s="73"/>
      <c r="F63" s="73"/>
      <c r="G63" s="85">
        <f>Taulukko1[[#This Row],[á hinta (ei sis. alv.)]]*1.255</f>
        <v>0</v>
      </c>
      <c r="H63" s="73">
        <v>0</v>
      </c>
      <c r="I63" s="85">
        <f>Taulukko1[[#This Row],[Määrä/12kk]]*Taulukko1[[#This Row],[kesto min.]]</f>
        <v>0</v>
      </c>
      <c r="J63" s="85">
        <f>Taulukko1[[#This Row],[kesto/12kk]]/12</f>
        <v>0</v>
      </c>
      <c r="K63">
        <f t="shared" si="2"/>
        <v>0</v>
      </c>
      <c r="L63" s="73"/>
      <c r="M63" s="8" t="s">
        <v>28</v>
      </c>
      <c r="N63" s="8"/>
      <c r="O63" s="87"/>
    </row>
    <row r="64" spans="1:15" x14ac:dyDescent="0.25">
      <c r="A64" s="127"/>
      <c r="B64" s="73"/>
      <c r="C64" s="73"/>
      <c r="D64" s="73"/>
      <c r="E64" s="73"/>
      <c r="F64" s="73"/>
      <c r="G64" s="85">
        <f>Taulukko1[[#This Row],[á hinta (ei sis. alv.)]]*1.255</f>
        <v>0</v>
      </c>
      <c r="H64" s="73">
        <v>0</v>
      </c>
      <c r="I64" s="85">
        <f>Taulukko1[[#This Row],[Määrä/12kk]]*Taulukko1[[#This Row],[kesto min.]]</f>
        <v>0</v>
      </c>
      <c r="J64" s="85">
        <f>Taulukko1[[#This Row],[kesto/12kk]]/12</f>
        <v>0</v>
      </c>
      <c r="K64">
        <f t="shared" si="2"/>
        <v>0</v>
      </c>
      <c r="L64" s="73"/>
      <c r="M64" s="8" t="s">
        <v>28</v>
      </c>
      <c r="N64" s="8"/>
      <c r="O64" s="87"/>
    </row>
    <row r="65" spans="1:15" x14ac:dyDescent="0.25">
      <c r="A65" s="127"/>
      <c r="B65" s="73"/>
      <c r="C65" s="73"/>
      <c r="D65" s="73"/>
      <c r="E65" s="73"/>
      <c r="F65" s="73"/>
      <c r="G65" s="85">
        <f>Taulukko1[[#This Row],[á hinta (ei sis. alv.)]]*1.255</f>
        <v>0</v>
      </c>
      <c r="H65" s="73">
        <v>0</v>
      </c>
      <c r="I65" s="85">
        <f>Taulukko1[[#This Row],[Määrä/12kk]]*Taulukko1[[#This Row],[kesto min.]]</f>
        <v>0</v>
      </c>
      <c r="J65" s="85">
        <f>Taulukko1[[#This Row],[kesto/12kk]]/12</f>
        <v>0</v>
      </c>
      <c r="K65">
        <f t="shared" si="2"/>
        <v>0</v>
      </c>
      <c r="L65" s="73"/>
      <c r="M65" s="8" t="s">
        <v>28</v>
      </c>
      <c r="N65" s="8"/>
      <c r="O65" s="87"/>
    </row>
    <row r="66" spans="1:15" x14ac:dyDescent="0.25">
      <c r="A66" s="127"/>
      <c r="B66" s="73"/>
      <c r="C66" s="73"/>
      <c r="D66" s="73"/>
      <c r="E66" s="73"/>
      <c r="F66" s="73"/>
      <c r="G66" s="85">
        <f>Taulukko1[[#This Row],[á hinta (ei sis. alv.)]]*1.255</f>
        <v>0</v>
      </c>
      <c r="H66" s="73">
        <v>0</v>
      </c>
      <c r="I66" s="85">
        <f>Taulukko1[[#This Row],[Määrä/12kk]]*Taulukko1[[#This Row],[kesto min.]]</f>
        <v>0</v>
      </c>
      <c r="J66" s="85">
        <f>Taulukko1[[#This Row],[kesto/12kk]]/12</f>
        <v>0</v>
      </c>
      <c r="K66">
        <f t="shared" si="2"/>
        <v>0</v>
      </c>
      <c r="L66" s="73"/>
      <c r="M66" s="8" t="s">
        <v>28</v>
      </c>
      <c r="N66" s="8"/>
      <c r="O66" s="87"/>
    </row>
    <row r="67" spans="1:15" x14ac:dyDescent="0.25">
      <c r="A67" s="127"/>
      <c r="B67" s="73"/>
      <c r="C67" s="73"/>
      <c r="D67" s="73"/>
      <c r="E67" s="73"/>
      <c r="F67" s="73"/>
      <c r="G67" s="85">
        <f>Taulukko1[[#This Row],[á hinta (ei sis. alv.)]]*1.255</f>
        <v>0</v>
      </c>
      <c r="H67" s="73">
        <v>0</v>
      </c>
      <c r="I67" s="85">
        <f>Taulukko1[[#This Row],[Määrä/12kk]]*Taulukko1[[#This Row],[kesto min.]]</f>
        <v>0</v>
      </c>
      <c r="J67" s="85">
        <f>Taulukko1[[#This Row],[kesto/12kk]]/12</f>
        <v>0</v>
      </c>
      <c r="K67">
        <f t="shared" si="2"/>
        <v>0</v>
      </c>
      <c r="L67" s="73"/>
      <c r="M67" s="8" t="s">
        <v>28</v>
      </c>
      <c r="N67" s="8"/>
      <c r="O67" s="87"/>
    </row>
    <row r="68" spans="1:15" x14ac:dyDescent="0.25">
      <c r="A68" s="127"/>
      <c r="B68" s="73"/>
      <c r="C68" s="73"/>
      <c r="D68" s="73"/>
      <c r="E68" s="73"/>
      <c r="F68" s="73"/>
      <c r="G68" s="85">
        <f>Taulukko1[[#This Row],[á hinta (ei sis. alv.)]]*1.255</f>
        <v>0</v>
      </c>
      <c r="H68" s="73">
        <v>0</v>
      </c>
      <c r="I68" s="85">
        <f>Taulukko1[[#This Row],[Määrä/12kk]]*Taulukko1[[#This Row],[kesto min.]]</f>
        <v>0</v>
      </c>
      <c r="J68" s="85">
        <f>Taulukko1[[#This Row],[kesto/12kk]]/12</f>
        <v>0</v>
      </c>
      <c r="K68">
        <f t="shared" si="2"/>
        <v>0</v>
      </c>
      <c r="L68" s="73"/>
      <c r="M68" s="8" t="s">
        <v>28</v>
      </c>
      <c r="N68" s="8"/>
      <c r="O68" s="87"/>
    </row>
    <row r="69" spans="1:15" x14ac:dyDescent="0.25">
      <c r="A69" s="127"/>
      <c r="B69" s="73"/>
      <c r="C69" s="73"/>
      <c r="D69" s="73"/>
      <c r="E69" s="73"/>
      <c r="F69" s="73"/>
      <c r="G69" s="85">
        <f>Taulukko1[[#This Row],[á hinta (ei sis. alv.)]]*1.255</f>
        <v>0</v>
      </c>
      <c r="H69" s="73">
        <v>0</v>
      </c>
      <c r="I69" s="85">
        <f>Taulukko1[[#This Row],[Määrä/12kk]]*Taulukko1[[#This Row],[kesto min.]]</f>
        <v>0</v>
      </c>
      <c r="J69" s="85">
        <f>Taulukko1[[#This Row],[kesto/12kk]]/12</f>
        <v>0</v>
      </c>
      <c r="K69">
        <f t="shared" si="2"/>
        <v>0</v>
      </c>
      <c r="L69" s="73"/>
      <c r="M69" s="8" t="s">
        <v>28</v>
      </c>
      <c r="N69" s="8"/>
      <c r="O69" s="87"/>
    </row>
    <row r="70" spans="1:15" x14ac:dyDescent="0.25">
      <c r="A70" s="127"/>
      <c r="B70" s="73"/>
      <c r="C70" s="73"/>
      <c r="D70" s="73"/>
      <c r="E70" s="73"/>
      <c r="F70" s="73"/>
      <c r="G70" s="85">
        <f>Taulukko1[[#This Row],[á hinta (ei sis. alv.)]]*1.255</f>
        <v>0</v>
      </c>
      <c r="H70" s="73">
        <v>0</v>
      </c>
      <c r="I70" s="85">
        <f>Taulukko1[[#This Row],[Määrä/12kk]]*Taulukko1[[#This Row],[kesto min.]]</f>
        <v>0</v>
      </c>
      <c r="J70" s="85">
        <f>Taulukko1[[#This Row],[kesto/12kk]]/12</f>
        <v>0</v>
      </c>
      <c r="K70">
        <f t="shared" si="2"/>
        <v>0</v>
      </c>
      <c r="L70" s="73"/>
      <c r="M70" s="8" t="s">
        <v>28</v>
      </c>
      <c r="N70" s="8"/>
      <c r="O70" s="87"/>
    </row>
    <row r="71" spans="1:15" x14ac:dyDescent="0.25">
      <c r="A71" s="127"/>
      <c r="B71" s="73"/>
      <c r="C71" s="73"/>
      <c r="D71" s="73"/>
      <c r="E71" s="73"/>
      <c r="F71" s="73"/>
      <c r="G71" s="85">
        <f>Taulukko1[[#This Row],[á hinta (ei sis. alv.)]]*1.255</f>
        <v>0</v>
      </c>
      <c r="H71" s="73">
        <v>0</v>
      </c>
      <c r="I71" s="85">
        <f>Taulukko1[[#This Row],[Määrä/12kk]]*Taulukko1[[#This Row],[kesto min.]]</f>
        <v>0</v>
      </c>
      <c r="J71" s="85">
        <f>Taulukko1[[#This Row],[kesto/12kk]]/12</f>
        <v>0</v>
      </c>
      <c r="K71">
        <f t="shared" si="2"/>
        <v>0</v>
      </c>
      <c r="L71" s="73"/>
      <c r="M71" s="8" t="s">
        <v>28</v>
      </c>
      <c r="N71" s="8"/>
      <c r="O71" s="87"/>
    </row>
    <row r="72" spans="1:15" x14ac:dyDescent="0.25">
      <c r="A72" s="127"/>
      <c r="B72" s="73"/>
      <c r="C72" s="73"/>
      <c r="D72" s="73"/>
      <c r="E72" s="73"/>
      <c r="F72" s="73"/>
      <c r="G72" s="85">
        <f>Taulukko1[[#This Row],[á hinta (ei sis. alv.)]]*1.255</f>
        <v>0</v>
      </c>
      <c r="H72" s="73">
        <v>0</v>
      </c>
      <c r="I72" s="85">
        <f>Taulukko1[[#This Row],[Määrä/12kk]]*Taulukko1[[#This Row],[kesto min.]]</f>
        <v>0</v>
      </c>
      <c r="J72" s="85">
        <f>Taulukko1[[#This Row],[kesto/12kk]]/12</f>
        <v>0</v>
      </c>
      <c r="K72">
        <f t="shared" si="2"/>
        <v>0</v>
      </c>
      <c r="L72" s="73"/>
      <c r="M72" s="8" t="s">
        <v>28</v>
      </c>
      <c r="N72" s="8"/>
      <c r="O72" s="87"/>
    </row>
    <row r="73" spans="1:15" x14ac:dyDescent="0.25">
      <c r="A73" s="127"/>
      <c r="B73" s="73"/>
      <c r="C73" s="73"/>
      <c r="D73" s="73"/>
      <c r="E73" s="73"/>
      <c r="F73" s="73"/>
      <c r="G73" s="85">
        <f>Taulukko1[[#This Row],[á hinta (ei sis. alv.)]]*1.255</f>
        <v>0</v>
      </c>
      <c r="H73" s="73">
        <v>0</v>
      </c>
      <c r="I73" s="85">
        <f>Taulukko1[[#This Row],[Määrä/12kk]]*Taulukko1[[#This Row],[kesto min.]]</f>
        <v>0</v>
      </c>
      <c r="J73" s="85">
        <f>Taulukko1[[#This Row],[kesto/12kk]]/12</f>
        <v>0</v>
      </c>
      <c r="K73">
        <f t="shared" si="2"/>
        <v>0</v>
      </c>
      <c r="L73" s="73"/>
      <c r="M73" s="8" t="s">
        <v>28</v>
      </c>
      <c r="N73" s="8"/>
      <c r="O73" s="87"/>
    </row>
    <row r="74" spans="1:15" x14ac:dyDescent="0.25">
      <c r="A74" s="127"/>
      <c r="B74" s="73"/>
      <c r="C74" s="73"/>
      <c r="D74" s="73"/>
      <c r="E74" s="73"/>
      <c r="F74" s="73"/>
      <c r="G74" s="85">
        <f>Taulukko1[[#This Row],[á hinta (ei sis. alv.)]]*1.255</f>
        <v>0</v>
      </c>
      <c r="H74" s="73">
        <v>0</v>
      </c>
      <c r="I74" s="85">
        <f>Taulukko1[[#This Row],[Määrä/12kk]]*Taulukko1[[#This Row],[kesto min.]]</f>
        <v>0</v>
      </c>
      <c r="J74" s="85">
        <f>Taulukko1[[#This Row],[kesto/12kk]]/12</f>
        <v>0</v>
      </c>
      <c r="K74">
        <f t="shared" si="2"/>
        <v>0</v>
      </c>
      <c r="L74" s="73"/>
      <c r="M74" s="8" t="s">
        <v>28</v>
      </c>
      <c r="N74" s="8"/>
      <c r="O74" s="87"/>
    </row>
    <row r="75" spans="1:15" x14ac:dyDescent="0.25">
      <c r="A75" s="127"/>
      <c r="B75" s="73"/>
      <c r="C75" s="73"/>
      <c r="D75" s="73"/>
      <c r="E75" s="73"/>
      <c r="F75" s="73"/>
      <c r="G75" s="85">
        <f>Taulukko1[[#This Row],[á hinta (ei sis. alv.)]]*1.255</f>
        <v>0</v>
      </c>
      <c r="H75" s="73">
        <v>0</v>
      </c>
      <c r="I75" s="85">
        <f>Taulukko1[[#This Row],[Määrä/12kk]]*Taulukko1[[#This Row],[kesto min.]]</f>
        <v>0</v>
      </c>
      <c r="J75" s="85">
        <f>Taulukko1[[#This Row],[kesto/12kk]]/12</f>
        <v>0</v>
      </c>
      <c r="K75">
        <f t="shared" si="2"/>
        <v>0</v>
      </c>
      <c r="L75" s="73"/>
      <c r="M75" s="8" t="s">
        <v>28</v>
      </c>
      <c r="N75" s="8"/>
      <c r="O75" s="87"/>
    </row>
    <row r="76" spans="1:15" x14ac:dyDescent="0.25">
      <c r="A76" s="127"/>
      <c r="B76" s="73"/>
      <c r="C76" s="73"/>
      <c r="D76" s="73"/>
      <c r="E76" s="73"/>
      <c r="F76" s="73"/>
      <c r="G76" s="85">
        <f>Taulukko1[[#This Row],[á hinta (ei sis. alv.)]]*1.255</f>
        <v>0</v>
      </c>
      <c r="H76" s="73">
        <v>0</v>
      </c>
      <c r="I76" s="85">
        <f>Taulukko1[[#This Row],[Määrä/12kk]]*Taulukko1[[#This Row],[kesto min.]]</f>
        <v>0</v>
      </c>
      <c r="J76" s="85">
        <f>Taulukko1[[#This Row],[kesto/12kk]]/12</f>
        <v>0</v>
      </c>
      <c r="K76">
        <f t="shared" si="2"/>
        <v>0</v>
      </c>
      <c r="L76" s="73"/>
      <c r="M76" s="8" t="s">
        <v>28</v>
      </c>
      <c r="N76" s="8"/>
      <c r="O76" s="87"/>
    </row>
    <row r="77" spans="1:15" x14ac:dyDescent="0.25">
      <c r="A77" s="127"/>
      <c r="B77" s="73"/>
      <c r="C77" s="73"/>
      <c r="D77" s="73"/>
      <c r="E77" s="73"/>
      <c r="F77" s="73"/>
      <c r="G77" s="85">
        <f>Taulukko1[[#This Row],[á hinta (ei sis. alv.)]]*1.255</f>
        <v>0</v>
      </c>
      <c r="H77" s="73">
        <v>0</v>
      </c>
      <c r="I77" s="85">
        <f>Taulukko1[[#This Row],[Määrä/12kk]]*Taulukko1[[#This Row],[kesto min.]]</f>
        <v>0</v>
      </c>
      <c r="J77" s="85">
        <f>Taulukko1[[#This Row],[kesto/12kk]]/12</f>
        <v>0</v>
      </c>
      <c r="K77">
        <f t="shared" si="2"/>
        <v>0</v>
      </c>
      <c r="L77" s="73"/>
      <c r="M77" s="8" t="s">
        <v>28</v>
      </c>
      <c r="N77" s="8"/>
      <c r="O77" s="87"/>
    </row>
    <row r="78" spans="1:15" x14ac:dyDescent="0.25">
      <c r="A78" s="127"/>
      <c r="B78" s="73"/>
      <c r="C78" s="73"/>
      <c r="D78" s="73"/>
      <c r="E78" s="73"/>
      <c r="F78" s="73"/>
      <c r="G78" s="85">
        <f>Taulukko1[[#This Row],[á hinta (ei sis. alv.)]]*1.255</f>
        <v>0</v>
      </c>
      <c r="H78" s="73">
        <v>0</v>
      </c>
      <c r="I78" s="85">
        <f>Taulukko1[[#This Row],[Määrä/12kk]]*Taulukko1[[#This Row],[kesto min.]]</f>
        <v>0</v>
      </c>
      <c r="J78" s="85">
        <f>Taulukko1[[#This Row],[kesto/12kk]]/12</f>
        <v>0</v>
      </c>
      <c r="K78">
        <f t="shared" si="2"/>
        <v>0</v>
      </c>
      <c r="L78" s="73"/>
      <c r="M78" s="8" t="s">
        <v>28</v>
      </c>
      <c r="N78" s="8"/>
      <c r="O78" s="87"/>
    </row>
    <row r="79" spans="1:15" x14ac:dyDescent="0.25">
      <c r="A79" s="127"/>
      <c r="B79" s="73"/>
      <c r="C79" s="73"/>
      <c r="D79" s="73"/>
      <c r="E79" s="73"/>
      <c r="F79" s="73"/>
      <c r="G79" s="85">
        <f>Taulukko1[[#This Row],[á hinta (ei sis. alv.)]]*1.255</f>
        <v>0</v>
      </c>
      <c r="H79" s="73">
        <v>0</v>
      </c>
      <c r="I79" s="85">
        <f>Taulukko1[[#This Row],[Määrä/12kk]]*Taulukko1[[#This Row],[kesto min.]]</f>
        <v>0</v>
      </c>
      <c r="J79" s="85">
        <f>Taulukko1[[#This Row],[kesto/12kk]]/12</f>
        <v>0</v>
      </c>
      <c r="K79">
        <f t="shared" si="2"/>
        <v>0</v>
      </c>
      <c r="L79" s="73"/>
      <c r="M79" s="8" t="s">
        <v>28</v>
      </c>
      <c r="N79" s="8"/>
      <c r="O79" s="87"/>
    </row>
    <row r="80" spans="1:15" x14ac:dyDescent="0.25">
      <c r="A80" s="127"/>
      <c r="B80" s="73"/>
      <c r="C80" s="73"/>
      <c r="D80" s="73"/>
      <c r="E80" s="73"/>
      <c r="F80" s="73"/>
      <c r="G80" s="85">
        <f>Taulukko1[[#This Row],[á hinta (ei sis. alv.)]]*1.255</f>
        <v>0</v>
      </c>
      <c r="H80" s="73">
        <v>0</v>
      </c>
      <c r="I80" s="85">
        <f>Taulukko1[[#This Row],[Määrä/12kk]]*Taulukko1[[#This Row],[kesto min.]]</f>
        <v>0</v>
      </c>
      <c r="J80" s="85">
        <f>Taulukko1[[#This Row],[kesto/12kk]]/12</f>
        <v>0</v>
      </c>
      <c r="K80">
        <f t="shared" si="2"/>
        <v>0</v>
      </c>
      <c r="L80" s="73"/>
      <c r="M80" s="8" t="s">
        <v>28</v>
      </c>
      <c r="N80" s="8"/>
      <c r="O80" s="87"/>
    </row>
    <row r="81" spans="1:15" x14ac:dyDescent="0.25">
      <c r="A81" s="127"/>
      <c r="B81" s="73"/>
      <c r="C81" s="73"/>
      <c r="D81" s="73"/>
      <c r="E81" s="73"/>
      <c r="F81" s="73"/>
      <c r="G81" s="85">
        <f>Taulukko1[[#This Row],[á hinta (ei sis. alv.)]]*1.255</f>
        <v>0</v>
      </c>
      <c r="H81" s="73">
        <v>0</v>
      </c>
      <c r="I81" s="85">
        <f>Taulukko1[[#This Row],[Määrä/12kk]]*Taulukko1[[#This Row],[kesto min.]]</f>
        <v>0</v>
      </c>
      <c r="J81" s="85">
        <f>Taulukko1[[#This Row],[kesto/12kk]]/12</f>
        <v>0</v>
      </c>
      <c r="K81">
        <f t="shared" si="2"/>
        <v>0</v>
      </c>
      <c r="L81" s="73"/>
      <c r="M81" s="8" t="s">
        <v>28</v>
      </c>
      <c r="N81" s="8"/>
      <c r="O81" s="87"/>
    </row>
    <row r="82" spans="1:15" x14ac:dyDescent="0.25">
      <c r="A82" s="127"/>
      <c r="B82" s="73"/>
      <c r="C82" s="73"/>
      <c r="D82" s="73"/>
      <c r="E82" s="73"/>
      <c r="F82" s="73"/>
      <c r="G82" s="85">
        <f>Taulukko1[[#This Row],[á hinta (ei sis. alv.)]]*1.255</f>
        <v>0</v>
      </c>
      <c r="H82" s="73">
        <v>0</v>
      </c>
      <c r="I82" s="85">
        <f>Taulukko1[[#This Row],[Määrä/12kk]]*Taulukko1[[#This Row],[kesto min.]]</f>
        <v>0</v>
      </c>
      <c r="J82" s="85">
        <f>Taulukko1[[#This Row],[kesto/12kk]]/12</f>
        <v>0</v>
      </c>
      <c r="K82">
        <f t="shared" si="2"/>
        <v>0</v>
      </c>
      <c r="L82" s="73"/>
      <c r="M82" s="8" t="s">
        <v>28</v>
      </c>
      <c r="N82" s="8"/>
      <c r="O82" s="87"/>
    </row>
    <row r="83" spans="1:15" x14ac:dyDescent="0.25">
      <c r="A83" s="127"/>
      <c r="B83" s="73"/>
      <c r="C83" s="73"/>
      <c r="D83" s="73"/>
      <c r="E83" s="73"/>
      <c r="F83" s="73"/>
      <c r="G83" s="85">
        <f>Taulukko1[[#This Row],[á hinta (ei sis. alv.)]]*1.255</f>
        <v>0</v>
      </c>
      <c r="H83" s="73">
        <v>0</v>
      </c>
      <c r="I83" s="85">
        <f>Taulukko1[[#This Row],[Määrä/12kk]]*Taulukko1[[#This Row],[kesto min.]]</f>
        <v>0</v>
      </c>
      <c r="J83" s="85">
        <f>Taulukko1[[#This Row],[kesto/12kk]]/12</f>
        <v>0</v>
      </c>
      <c r="K83">
        <f t="shared" si="2"/>
        <v>0</v>
      </c>
      <c r="L83" s="73"/>
      <c r="M83" s="8" t="s">
        <v>28</v>
      </c>
      <c r="N83" s="8"/>
      <c r="O83" s="87"/>
    </row>
    <row r="84" spans="1:15" x14ac:dyDescent="0.25">
      <c r="A84" s="127"/>
      <c r="B84" s="73"/>
      <c r="C84" s="73"/>
      <c r="D84" s="73"/>
      <c r="E84" s="73"/>
      <c r="F84" s="73"/>
      <c r="G84" s="85">
        <f>Taulukko1[[#This Row],[á hinta (ei sis. alv.)]]*1.255</f>
        <v>0</v>
      </c>
      <c r="H84" s="73">
        <v>0</v>
      </c>
      <c r="I84" s="85">
        <f>Taulukko1[[#This Row],[Määrä/12kk]]*Taulukko1[[#This Row],[kesto min.]]</f>
        <v>0</v>
      </c>
      <c r="J84" s="85">
        <f>Taulukko1[[#This Row],[kesto/12kk]]/12</f>
        <v>0</v>
      </c>
      <c r="K84">
        <f t="shared" si="2"/>
        <v>0</v>
      </c>
      <c r="L84" s="73"/>
      <c r="M84" s="8" t="s">
        <v>28</v>
      </c>
      <c r="N84" s="8"/>
      <c r="O84" s="87"/>
    </row>
    <row r="85" spans="1:15" x14ac:dyDescent="0.25">
      <c r="A85" s="127"/>
      <c r="B85" s="73"/>
      <c r="C85" s="73"/>
      <c r="D85" s="73"/>
      <c r="E85" s="73"/>
      <c r="F85" s="73"/>
      <c r="G85" s="85">
        <f>Taulukko1[[#This Row],[á hinta (ei sis. alv.)]]*1.255</f>
        <v>0</v>
      </c>
      <c r="H85" s="73">
        <v>0</v>
      </c>
      <c r="I85" s="85">
        <f>Taulukko1[[#This Row],[Määrä/12kk]]*Taulukko1[[#This Row],[kesto min.]]</f>
        <v>0</v>
      </c>
      <c r="J85" s="85">
        <f>Taulukko1[[#This Row],[kesto/12kk]]/12</f>
        <v>0</v>
      </c>
      <c r="K85">
        <f t="shared" si="2"/>
        <v>0</v>
      </c>
      <c r="L85" s="73"/>
      <c r="M85" s="8" t="s">
        <v>28</v>
      </c>
      <c r="N85" s="8"/>
      <c r="O85" s="87"/>
    </row>
    <row r="86" spans="1:15" x14ac:dyDescent="0.25">
      <c r="A86" s="127"/>
      <c r="B86" s="73"/>
      <c r="C86" s="73"/>
      <c r="D86" s="73"/>
      <c r="E86" s="73"/>
      <c r="F86" s="73"/>
      <c r="G86" s="85">
        <f>Taulukko1[[#This Row],[á hinta (ei sis. alv.)]]*1.255</f>
        <v>0</v>
      </c>
      <c r="H86" s="73">
        <v>0</v>
      </c>
      <c r="I86" s="85">
        <f>Taulukko1[[#This Row],[Määrä/12kk]]*Taulukko1[[#This Row],[kesto min.]]</f>
        <v>0</v>
      </c>
      <c r="J86" s="85">
        <f>Taulukko1[[#This Row],[kesto/12kk]]/12</f>
        <v>0</v>
      </c>
      <c r="K86">
        <f t="shared" si="2"/>
        <v>0</v>
      </c>
      <c r="L86" s="73"/>
      <c r="M86" s="8" t="s">
        <v>28</v>
      </c>
      <c r="N86" s="8"/>
      <c r="O86" s="87"/>
    </row>
    <row r="87" spans="1:15" x14ac:dyDescent="0.25">
      <c r="A87" s="127"/>
      <c r="B87" s="73"/>
      <c r="C87" s="73"/>
      <c r="D87" s="73"/>
      <c r="E87" s="73"/>
      <c r="F87" s="73"/>
      <c r="G87" s="85">
        <f>Taulukko1[[#This Row],[á hinta (ei sis. alv.)]]*1.255</f>
        <v>0</v>
      </c>
      <c r="H87" s="73">
        <v>0</v>
      </c>
      <c r="I87" s="85">
        <f>Taulukko1[[#This Row],[Määrä/12kk]]*Taulukko1[[#This Row],[kesto min.]]</f>
        <v>0</v>
      </c>
      <c r="J87" s="85">
        <f>Taulukko1[[#This Row],[kesto/12kk]]/12</f>
        <v>0</v>
      </c>
      <c r="K87">
        <f t="shared" ref="K87:K101" si="3">E87*F87</f>
        <v>0</v>
      </c>
      <c r="L87" s="73"/>
      <c r="M87" s="8" t="s">
        <v>28</v>
      </c>
      <c r="N87" s="8"/>
      <c r="O87" s="87"/>
    </row>
    <row r="88" spans="1:15" x14ac:dyDescent="0.25">
      <c r="A88" s="127"/>
      <c r="B88" s="73"/>
      <c r="C88" s="73"/>
      <c r="D88" s="73"/>
      <c r="E88" s="73"/>
      <c r="F88" s="73"/>
      <c r="G88" s="85">
        <f>Taulukko1[[#This Row],[á hinta (ei sis. alv.)]]*1.255</f>
        <v>0</v>
      </c>
      <c r="H88" s="73">
        <v>0</v>
      </c>
      <c r="I88" s="85">
        <f>Taulukko1[[#This Row],[Määrä/12kk]]*Taulukko1[[#This Row],[kesto min.]]</f>
        <v>0</v>
      </c>
      <c r="J88" s="85">
        <f>Taulukko1[[#This Row],[kesto/12kk]]/12</f>
        <v>0</v>
      </c>
      <c r="K88">
        <f t="shared" si="3"/>
        <v>0</v>
      </c>
      <c r="L88" s="73"/>
      <c r="M88" s="8" t="s">
        <v>28</v>
      </c>
      <c r="N88" s="8"/>
      <c r="O88" s="87"/>
    </row>
    <row r="89" spans="1:15" x14ac:dyDescent="0.25">
      <c r="A89" s="127"/>
      <c r="B89" s="73"/>
      <c r="C89" s="73"/>
      <c r="D89" s="73"/>
      <c r="E89" s="73"/>
      <c r="F89" s="73"/>
      <c r="G89" s="85">
        <f>Taulukko1[[#This Row],[á hinta (ei sis. alv.)]]*1.255</f>
        <v>0</v>
      </c>
      <c r="H89" s="73">
        <v>0</v>
      </c>
      <c r="I89" s="85">
        <f>Taulukko1[[#This Row],[Määrä/12kk]]*Taulukko1[[#This Row],[kesto min.]]</f>
        <v>0</v>
      </c>
      <c r="J89" s="85">
        <f>Taulukko1[[#This Row],[kesto/12kk]]/12</f>
        <v>0</v>
      </c>
      <c r="K89">
        <f t="shared" si="3"/>
        <v>0</v>
      </c>
      <c r="L89" s="73"/>
      <c r="M89" s="8" t="s">
        <v>28</v>
      </c>
      <c r="N89" s="8"/>
      <c r="O89" s="87"/>
    </row>
    <row r="90" spans="1:15" x14ac:dyDescent="0.25">
      <c r="A90" s="127"/>
      <c r="B90" s="73"/>
      <c r="C90" s="73"/>
      <c r="D90" s="73"/>
      <c r="E90" s="73"/>
      <c r="F90" s="73"/>
      <c r="G90" s="85">
        <f>Taulukko1[[#This Row],[á hinta (ei sis. alv.)]]*1.255</f>
        <v>0</v>
      </c>
      <c r="H90" s="73">
        <v>0</v>
      </c>
      <c r="I90" s="85">
        <f>Taulukko1[[#This Row],[Määrä/12kk]]*Taulukko1[[#This Row],[kesto min.]]</f>
        <v>0</v>
      </c>
      <c r="J90" s="85">
        <f>Taulukko1[[#This Row],[kesto/12kk]]/12</f>
        <v>0</v>
      </c>
      <c r="K90">
        <f t="shared" si="3"/>
        <v>0</v>
      </c>
      <c r="L90" s="73"/>
      <c r="M90" s="8" t="s">
        <v>28</v>
      </c>
      <c r="N90" s="8"/>
      <c r="O90" s="87"/>
    </row>
    <row r="91" spans="1:15" x14ac:dyDescent="0.25">
      <c r="A91" s="127"/>
      <c r="B91" s="73"/>
      <c r="C91" s="73"/>
      <c r="D91" s="73"/>
      <c r="E91" s="73"/>
      <c r="F91" s="73"/>
      <c r="G91" s="85">
        <f>Taulukko1[[#This Row],[á hinta (ei sis. alv.)]]*1.255</f>
        <v>0</v>
      </c>
      <c r="H91" s="73">
        <v>0</v>
      </c>
      <c r="I91" s="85">
        <f>Taulukko1[[#This Row],[Määrä/12kk]]*Taulukko1[[#This Row],[kesto min.]]</f>
        <v>0</v>
      </c>
      <c r="J91" s="85">
        <f>Taulukko1[[#This Row],[kesto/12kk]]/12</f>
        <v>0</v>
      </c>
      <c r="K91">
        <f t="shared" si="3"/>
        <v>0</v>
      </c>
      <c r="L91" s="73"/>
      <c r="M91" s="8" t="s">
        <v>28</v>
      </c>
      <c r="N91" s="8"/>
      <c r="O91" s="87"/>
    </row>
    <row r="92" spans="1:15" x14ac:dyDescent="0.25">
      <c r="A92" s="127"/>
      <c r="B92" s="73"/>
      <c r="C92" s="73"/>
      <c r="D92" s="73"/>
      <c r="E92" s="73"/>
      <c r="F92" s="73"/>
      <c r="G92" s="85">
        <f>Taulukko1[[#This Row],[á hinta (ei sis. alv.)]]*1.255</f>
        <v>0</v>
      </c>
      <c r="H92" s="73">
        <v>0</v>
      </c>
      <c r="I92" s="85">
        <f>Taulukko1[[#This Row],[Määrä/12kk]]*Taulukko1[[#This Row],[kesto min.]]</f>
        <v>0</v>
      </c>
      <c r="J92" s="85">
        <f>Taulukko1[[#This Row],[kesto/12kk]]/12</f>
        <v>0</v>
      </c>
      <c r="K92">
        <f t="shared" si="3"/>
        <v>0</v>
      </c>
      <c r="L92" s="73"/>
      <c r="M92" s="8" t="s">
        <v>28</v>
      </c>
      <c r="N92" s="8"/>
      <c r="O92" s="87"/>
    </row>
    <row r="93" spans="1:15" x14ac:dyDescent="0.25">
      <c r="A93" s="127"/>
      <c r="B93" s="73"/>
      <c r="C93" s="73"/>
      <c r="D93" s="73"/>
      <c r="E93" s="73"/>
      <c r="F93" s="73"/>
      <c r="G93" s="85">
        <f>Taulukko1[[#This Row],[á hinta (ei sis. alv.)]]*1.255</f>
        <v>0</v>
      </c>
      <c r="H93" s="73">
        <v>0</v>
      </c>
      <c r="I93" s="85">
        <f>Taulukko1[[#This Row],[Määrä/12kk]]*Taulukko1[[#This Row],[kesto min.]]</f>
        <v>0</v>
      </c>
      <c r="J93" s="85">
        <f>Taulukko1[[#This Row],[kesto/12kk]]/12</f>
        <v>0</v>
      </c>
      <c r="K93">
        <f t="shared" si="3"/>
        <v>0</v>
      </c>
      <c r="L93" s="73"/>
      <c r="M93" s="8" t="s">
        <v>28</v>
      </c>
      <c r="N93" s="8"/>
      <c r="O93" s="87"/>
    </row>
    <row r="94" spans="1:15" x14ac:dyDescent="0.25">
      <c r="A94" s="127"/>
      <c r="B94" s="73"/>
      <c r="C94" s="73"/>
      <c r="D94" s="73"/>
      <c r="E94" s="73"/>
      <c r="F94" s="73"/>
      <c r="G94" s="85">
        <f>Taulukko1[[#This Row],[á hinta (ei sis. alv.)]]*1.255</f>
        <v>0</v>
      </c>
      <c r="H94" s="73">
        <v>0</v>
      </c>
      <c r="I94" s="85">
        <f>Taulukko1[[#This Row],[Määrä/12kk]]*Taulukko1[[#This Row],[kesto min.]]</f>
        <v>0</v>
      </c>
      <c r="J94" s="85">
        <f>Taulukko1[[#This Row],[kesto/12kk]]/12</f>
        <v>0</v>
      </c>
      <c r="K94">
        <f t="shared" si="3"/>
        <v>0</v>
      </c>
      <c r="L94" s="73"/>
      <c r="M94" s="8" t="s">
        <v>28</v>
      </c>
      <c r="N94" s="8"/>
      <c r="O94" s="87"/>
    </row>
    <row r="95" spans="1:15" x14ac:dyDescent="0.25">
      <c r="A95" s="127"/>
      <c r="B95" s="73"/>
      <c r="C95" s="73"/>
      <c r="D95" s="73"/>
      <c r="E95" s="73"/>
      <c r="F95" s="73"/>
      <c r="G95" s="85">
        <f>Taulukko1[[#This Row],[á hinta (ei sis. alv.)]]*1.255</f>
        <v>0</v>
      </c>
      <c r="H95" s="73">
        <v>0</v>
      </c>
      <c r="I95" s="85">
        <f>Taulukko1[[#This Row],[Määrä/12kk]]*Taulukko1[[#This Row],[kesto min.]]</f>
        <v>0</v>
      </c>
      <c r="J95" s="85">
        <f>Taulukko1[[#This Row],[kesto/12kk]]/12</f>
        <v>0</v>
      </c>
      <c r="K95">
        <f t="shared" si="3"/>
        <v>0</v>
      </c>
      <c r="L95" s="73"/>
      <c r="M95" s="8" t="s">
        <v>28</v>
      </c>
      <c r="N95" s="8"/>
      <c r="O95" s="87"/>
    </row>
    <row r="96" spans="1:15" x14ac:dyDescent="0.25">
      <c r="A96" s="127"/>
      <c r="B96" s="73"/>
      <c r="C96" s="73"/>
      <c r="D96" s="73"/>
      <c r="E96" s="73"/>
      <c r="F96" s="73"/>
      <c r="G96" s="85">
        <f>Taulukko1[[#This Row],[á hinta (ei sis. alv.)]]*1.255</f>
        <v>0</v>
      </c>
      <c r="H96" s="73">
        <v>0</v>
      </c>
      <c r="I96" s="85">
        <f>Taulukko1[[#This Row],[Määrä/12kk]]*Taulukko1[[#This Row],[kesto min.]]</f>
        <v>0</v>
      </c>
      <c r="J96" s="85">
        <f>Taulukko1[[#This Row],[kesto/12kk]]/12</f>
        <v>0</v>
      </c>
      <c r="K96">
        <f t="shared" si="3"/>
        <v>0</v>
      </c>
      <c r="L96" s="73"/>
      <c r="M96" s="8" t="s">
        <v>28</v>
      </c>
      <c r="N96" s="8"/>
      <c r="O96" s="87"/>
    </row>
    <row r="97" spans="1:16" x14ac:dyDescent="0.25">
      <c r="A97" s="127"/>
      <c r="B97" s="73"/>
      <c r="C97" s="73"/>
      <c r="D97" s="73"/>
      <c r="E97" s="73"/>
      <c r="F97" s="73"/>
      <c r="G97" s="85">
        <f>Taulukko1[[#This Row],[á hinta (ei sis. alv.)]]*1.255</f>
        <v>0</v>
      </c>
      <c r="H97" s="73">
        <v>0</v>
      </c>
      <c r="I97" s="85">
        <f>Taulukko1[[#This Row],[Määrä/12kk]]*Taulukko1[[#This Row],[kesto min.]]</f>
        <v>0</v>
      </c>
      <c r="J97" s="85">
        <f>Taulukko1[[#This Row],[kesto/12kk]]/12</f>
        <v>0</v>
      </c>
      <c r="K97">
        <f t="shared" si="3"/>
        <v>0</v>
      </c>
      <c r="L97" s="73"/>
      <c r="M97" s="8" t="s">
        <v>28</v>
      </c>
      <c r="N97" s="8"/>
      <c r="O97" s="87"/>
    </row>
    <row r="98" spans="1:16" x14ac:dyDescent="0.25">
      <c r="A98" s="127"/>
      <c r="B98" s="73"/>
      <c r="C98" s="73"/>
      <c r="D98" s="73"/>
      <c r="E98" s="73"/>
      <c r="F98" s="73"/>
      <c r="G98" s="85">
        <f>Taulukko1[[#This Row],[á hinta (ei sis. alv.)]]*1.255</f>
        <v>0</v>
      </c>
      <c r="H98" s="73">
        <v>0</v>
      </c>
      <c r="I98" s="85">
        <f>Taulukko1[[#This Row],[Määrä/12kk]]*Taulukko1[[#This Row],[kesto min.]]</f>
        <v>0</v>
      </c>
      <c r="J98" s="85">
        <f>Taulukko1[[#This Row],[kesto/12kk]]/12</f>
        <v>0</v>
      </c>
      <c r="K98">
        <f t="shared" si="3"/>
        <v>0</v>
      </c>
      <c r="L98" s="73"/>
      <c r="M98" s="8" t="s">
        <v>28</v>
      </c>
      <c r="N98" s="8"/>
      <c r="O98" s="87"/>
    </row>
    <row r="99" spans="1:16" x14ac:dyDescent="0.25">
      <c r="A99" s="127"/>
      <c r="B99" s="73"/>
      <c r="C99" s="73"/>
      <c r="D99" s="73"/>
      <c r="E99" s="73"/>
      <c r="F99" s="73"/>
      <c r="G99" s="85">
        <f>Taulukko1[[#This Row],[á hinta (ei sis. alv.)]]*1.255</f>
        <v>0</v>
      </c>
      <c r="H99" s="73">
        <v>0</v>
      </c>
      <c r="I99" s="85">
        <f>Taulukko1[[#This Row],[Määrä/12kk]]*Taulukko1[[#This Row],[kesto min.]]</f>
        <v>0</v>
      </c>
      <c r="J99" s="85">
        <f>Taulukko1[[#This Row],[kesto/12kk]]/12</f>
        <v>0</v>
      </c>
      <c r="K99">
        <f t="shared" si="3"/>
        <v>0</v>
      </c>
      <c r="L99" s="73"/>
      <c r="M99" s="8" t="s">
        <v>28</v>
      </c>
      <c r="N99" s="8"/>
      <c r="O99" s="87"/>
    </row>
    <row r="100" spans="1:16" x14ac:dyDescent="0.25">
      <c r="A100" s="127"/>
      <c r="B100" s="73"/>
      <c r="C100" s="73"/>
      <c r="D100" s="73"/>
      <c r="E100" s="73"/>
      <c r="F100" s="73"/>
      <c r="G100" s="85">
        <f>Taulukko1[[#This Row],[á hinta (ei sis. alv.)]]*1.255</f>
        <v>0</v>
      </c>
      <c r="H100" s="73">
        <v>0</v>
      </c>
      <c r="I100" s="85">
        <f>Taulukko1[[#This Row],[Määrä/12kk]]*Taulukko1[[#This Row],[kesto min.]]</f>
        <v>0</v>
      </c>
      <c r="J100" s="85">
        <f>Taulukko1[[#This Row],[kesto/12kk]]/12</f>
        <v>0</v>
      </c>
      <c r="K100">
        <f t="shared" si="3"/>
        <v>0</v>
      </c>
      <c r="L100" s="73"/>
      <c r="M100" s="8" t="s">
        <v>28</v>
      </c>
      <c r="N100" s="8"/>
      <c r="O100" s="87"/>
    </row>
    <row r="101" spans="1:16" x14ac:dyDescent="0.25">
      <c r="A101" s="127"/>
      <c r="B101" s="73"/>
      <c r="C101" s="73"/>
      <c r="D101" s="73"/>
      <c r="E101" s="73"/>
      <c r="F101" s="73"/>
      <c r="G101" s="85">
        <f>Taulukko1[[#This Row],[á hinta (ei sis. alv.)]]*1.255</f>
        <v>0</v>
      </c>
      <c r="H101" s="73">
        <v>0</v>
      </c>
      <c r="I101" s="85">
        <f>Taulukko1[[#This Row],[Määrä/12kk]]*Taulukko1[[#This Row],[kesto min.]]</f>
        <v>0</v>
      </c>
      <c r="J101" s="85">
        <f>Taulukko1[[#This Row],[kesto/12kk]]/12</f>
        <v>0</v>
      </c>
      <c r="K101">
        <f t="shared" si="3"/>
        <v>0</v>
      </c>
      <c r="L101" s="73"/>
      <c r="M101" s="8" t="s">
        <v>28</v>
      </c>
      <c r="N101" s="8"/>
      <c r="O101" s="87"/>
    </row>
    <row r="102" spans="1:16" x14ac:dyDescent="0.25">
      <c r="A102" s="127"/>
      <c r="B102" s="84" t="s">
        <v>116</v>
      </c>
      <c r="C102" s="72"/>
      <c r="D102" s="72"/>
      <c r="E102" s="72">
        <f>SUBTOTAL(109,Taulukko1[Määrä/12kk])</f>
        <v>130</v>
      </c>
      <c r="F102" s="72"/>
      <c r="G102" s="72"/>
      <c r="H102" s="72"/>
      <c r="I102" s="72">
        <f>SUBTOTAL(109,Taulukko1[kesto/12kk])</f>
        <v>9600</v>
      </c>
      <c r="J102" s="72"/>
      <c r="K102">
        <f>SUBTOTAL(109,Taulukko1[hinta yht.])</f>
        <v>11580</v>
      </c>
      <c r="L102" s="72"/>
      <c r="N102"/>
      <c r="O102" s="70"/>
    </row>
    <row r="103" spans="1:16" hidden="1" x14ac:dyDescent="0.25">
      <c r="A103" s="128"/>
      <c r="B103" s="83"/>
      <c r="C103" s="83"/>
      <c r="D103" s="83"/>
      <c r="E103" s="83"/>
      <c r="F103" s="83"/>
      <c r="G103" s="83"/>
      <c r="H103" s="83"/>
      <c r="I103" s="83"/>
      <c r="J103" s="83"/>
      <c r="K103" s="83"/>
      <c r="L103" s="83"/>
      <c r="M103" s="83"/>
      <c r="N103" s="83"/>
      <c r="O103" s="83"/>
      <c r="P103" s="88"/>
    </row>
    <row r="104" spans="1:16" hidden="1" x14ac:dyDescent="0.25">
      <c r="L104" s="11"/>
    </row>
    <row r="105" spans="1:16" hidden="1" x14ac:dyDescent="0.25">
      <c r="L105" s="11"/>
    </row>
    <row r="106" spans="1:16" hidden="1" x14ac:dyDescent="0.25">
      <c r="L106" s="11"/>
    </row>
    <row r="107" spans="1:16" hidden="1" x14ac:dyDescent="0.25">
      <c r="L107" s="11"/>
    </row>
    <row r="108" spans="1:16" hidden="1" x14ac:dyDescent="0.25">
      <c r="L108" s="11"/>
    </row>
    <row r="109" spans="1:16" hidden="1" x14ac:dyDescent="0.25">
      <c r="L109" s="11"/>
    </row>
    <row r="110" spans="1:16" hidden="1" x14ac:dyDescent="0.25">
      <c r="L110" s="11"/>
    </row>
    <row r="111" spans="1:16" hidden="1" x14ac:dyDescent="0.25">
      <c r="L111" s="11"/>
    </row>
    <row r="112" spans="1:16" hidden="1" x14ac:dyDescent="0.25">
      <c r="L112" s="11"/>
    </row>
    <row r="113" spans="12:12" hidden="1" x14ac:dyDescent="0.25">
      <c r="L113" s="11"/>
    </row>
    <row r="114" spans="12:12" hidden="1" x14ac:dyDescent="0.25">
      <c r="L114" s="11"/>
    </row>
    <row r="115" spans="12:12" hidden="1" x14ac:dyDescent="0.25">
      <c r="L115" s="11"/>
    </row>
    <row r="116" spans="12:12" hidden="1" x14ac:dyDescent="0.25">
      <c r="L116" s="11"/>
    </row>
    <row r="117" spans="12:12" hidden="1" x14ac:dyDescent="0.25">
      <c r="L117" s="11"/>
    </row>
    <row r="118" spans="12:12" hidden="1" x14ac:dyDescent="0.25">
      <c r="L118" s="11"/>
    </row>
    <row r="119" spans="12:12" hidden="1" x14ac:dyDescent="0.25">
      <c r="L119" s="11"/>
    </row>
    <row r="120" spans="12:12" hidden="1" x14ac:dyDescent="0.25">
      <c r="L120" s="11"/>
    </row>
    <row r="121" spans="12:12" hidden="1" x14ac:dyDescent="0.25">
      <c r="L121" s="11"/>
    </row>
    <row r="122" spans="12:12" hidden="1" x14ac:dyDescent="0.25">
      <c r="L122" s="11"/>
    </row>
    <row r="123" spans="12:12" hidden="1" x14ac:dyDescent="0.25">
      <c r="L123" s="11"/>
    </row>
    <row r="124" spans="12:12" hidden="1" x14ac:dyDescent="0.25">
      <c r="L124" s="11"/>
    </row>
    <row r="125" spans="12:12" hidden="1" x14ac:dyDescent="0.25">
      <c r="L125" s="11"/>
    </row>
    <row r="126" spans="12:12" hidden="1" x14ac:dyDescent="0.25">
      <c r="L126" s="11"/>
    </row>
    <row r="127" spans="12:12" hidden="1" x14ac:dyDescent="0.25">
      <c r="L127" s="11"/>
    </row>
    <row r="128" spans="12:12" hidden="1" x14ac:dyDescent="0.25">
      <c r="L128" s="11"/>
    </row>
    <row r="129" spans="12:12" hidden="1" x14ac:dyDescent="0.25">
      <c r="L129" s="11"/>
    </row>
    <row r="130" spans="12:12" hidden="1" x14ac:dyDescent="0.25">
      <c r="L130" s="11"/>
    </row>
    <row r="131" spans="12:12" hidden="1" x14ac:dyDescent="0.25">
      <c r="L131" s="11"/>
    </row>
    <row r="132" spans="12:12" hidden="1" x14ac:dyDescent="0.25">
      <c r="L132" s="11"/>
    </row>
    <row r="133" spans="12:12" hidden="1" x14ac:dyDescent="0.25">
      <c r="L133" s="11"/>
    </row>
    <row r="134" spans="12:12" hidden="1" x14ac:dyDescent="0.25">
      <c r="L134" s="11"/>
    </row>
    <row r="135" spans="12:12" hidden="1" x14ac:dyDescent="0.25">
      <c r="L135" s="11"/>
    </row>
    <row r="136" spans="12:12" hidden="1" x14ac:dyDescent="0.25">
      <c r="L136" s="11"/>
    </row>
    <row r="137" spans="12:12" hidden="1" x14ac:dyDescent="0.25">
      <c r="L137" s="11"/>
    </row>
    <row r="138" spans="12:12" hidden="1" x14ac:dyDescent="0.25">
      <c r="L138" s="11"/>
    </row>
    <row r="139" spans="12:12" hidden="1" x14ac:dyDescent="0.25">
      <c r="L139" s="11"/>
    </row>
    <row r="140" spans="12:12" hidden="1" x14ac:dyDescent="0.25">
      <c r="L140" s="11"/>
    </row>
    <row r="141" spans="12:12" hidden="1" x14ac:dyDescent="0.25">
      <c r="L141" s="11"/>
    </row>
    <row r="142" spans="12:12" hidden="1" x14ac:dyDescent="0.25">
      <c r="L142" s="11"/>
    </row>
    <row r="143" spans="12:12" hidden="1" x14ac:dyDescent="0.25">
      <c r="L143" s="11"/>
    </row>
    <row r="144" spans="12:12" hidden="1" x14ac:dyDescent="0.25">
      <c r="L144" s="11"/>
    </row>
    <row r="145" spans="12:12" hidden="1" x14ac:dyDescent="0.25">
      <c r="L145" s="11"/>
    </row>
    <row r="146" spans="12:12" hidden="1" x14ac:dyDescent="0.25">
      <c r="L146" s="11"/>
    </row>
    <row r="147" spans="12:12" hidden="1" x14ac:dyDescent="0.25">
      <c r="L147" s="11"/>
    </row>
    <row r="148" spans="12:12" hidden="1" x14ac:dyDescent="0.25">
      <c r="L148" s="11"/>
    </row>
    <row r="149" spans="12:12" hidden="1" x14ac:dyDescent="0.25">
      <c r="L149" s="11"/>
    </row>
    <row r="150" spans="12:12" hidden="1" x14ac:dyDescent="0.25">
      <c r="L150" s="11"/>
    </row>
    <row r="151" spans="12:12" hidden="1" x14ac:dyDescent="0.25">
      <c r="L151" s="11"/>
    </row>
    <row r="152" spans="12:12" hidden="1" x14ac:dyDescent="0.25">
      <c r="L152" s="11"/>
    </row>
    <row r="153" spans="12:12" hidden="1" x14ac:dyDescent="0.25">
      <c r="L153" s="11"/>
    </row>
    <row r="154" spans="12:12" hidden="1" x14ac:dyDescent="0.25">
      <c r="L154" s="11"/>
    </row>
    <row r="155" spans="12:12" hidden="1" x14ac:dyDescent="0.25">
      <c r="L155" s="11"/>
    </row>
    <row r="156" spans="12:12" hidden="1" x14ac:dyDescent="0.25">
      <c r="L156" s="11"/>
    </row>
    <row r="157" spans="12:12" hidden="1" x14ac:dyDescent="0.25">
      <c r="L157" s="11"/>
    </row>
    <row r="158" spans="12:12" hidden="1" x14ac:dyDescent="0.25">
      <c r="L158" s="11"/>
    </row>
    <row r="159" spans="12:12" hidden="1" x14ac:dyDescent="0.25">
      <c r="L159" s="11"/>
    </row>
    <row r="160" spans="12:12" hidden="1" x14ac:dyDescent="0.25">
      <c r="L160" s="11"/>
    </row>
    <row r="161" spans="12:12" hidden="1" x14ac:dyDescent="0.25">
      <c r="L161" s="11"/>
    </row>
    <row r="162" spans="12:12" hidden="1" x14ac:dyDescent="0.25">
      <c r="L162" s="11"/>
    </row>
    <row r="163" spans="12:12" hidden="1" x14ac:dyDescent="0.25">
      <c r="L163" s="11"/>
    </row>
    <row r="164" spans="12:12" hidden="1" x14ac:dyDescent="0.25">
      <c r="L164" s="11"/>
    </row>
    <row r="165" spans="12:12" hidden="1" x14ac:dyDescent="0.25">
      <c r="L165" s="11"/>
    </row>
    <row r="166" spans="12:12" hidden="1" x14ac:dyDescent="0.25">
      <c r="L166" s="11"/>
    </row>
    <row r="167" spans="12:12" hidden="1" x14ac:dyDescent="0.25">
      <c r="L167" s="11"/>
    </row>
    <row r="168" spans="12:12" hidden="1" x14ac:dyDescent="0.25">
      <c r="L168" s="11"/>
    </row>
    <row r="169" spans="12:12" hidden="1" x14ac:dyDescent="0.25">
      <c r="L169" s="11"/>
    </row>
    <row r="170" spans="12:12" hidden="1" x14ac:dyDescent="0.25">
      <c r="L170" s="11"/>
    </row>
    <row r="171" spans="12:12" hidden="1" x14ac:dyDescent="0.25">
      <c r="L171" s="11"/>
    </row>
    <row r="172" spans="12:12" hidden="1" x14ac:dyDescent="0.25">
      <c r="L172" s="11"/>
    </row>
    <row r="173" spans="12:12" hidden="1" x14ac:dyDescent="0.25">
      <c r="L173" s="11"/>
    </row>
    <row r="174" spans="12:12" hidden="1" x14ac:dyDescent="0.25">
      <c r="L174" s="11"/>
    </row>
    <row r="175" spans="12:12" hidden="1" x14ac:dyDescent="0.25">
      <c r="L175" s="11"/>
    </row>
    <row r="176" spans="12:12" hidden="1" x14ac:dyDescent="0.25">
      <c r="L176" s="11"/>
    </row>
    <row r="177" spans="12:12" hidden="1" x14ac:dyDescent="0.25">
      <c r="L177" s="11"/>
    </row>
    <row r="178" spans="12:12" hidden="1" x14ac:dyDescent="0.25">
      <c r="L178" s="11"/>
    </row>
    <row r="179" spans="12:12" hidden="1" x14ac:dyDescent="0.25">
      <c r="L179" s="11"/>
    </row>
  </sheetData>
  <sheetProtection algorithmName="SHA-512" hashValue="aVeM9rZz7rqDVVvRKPJkrma67Dko85RcVLFBcwEbF20pJYUfGL25b14QdfnPgOYoruPkggQwbwryMjqtBVSwew==" saltValue="k72RLptXEXkSx1egCbNN6g==" spinCount="100000" sheet="1" objects="1" scenarios="1"/>
  <mergeCells count="2">
    <mergeCell ref="A1:A103"/>
    <mergeCell ref="B1:O1"/>
  </mergeCells>
  <phoneticPr fontId="2" type="noConversion"/>
  <conditionalFormatting sqref="M4:M101">
    <cfRule type="expression" dxfId="65" priority="1">
      <formula>L4&lt;TODAY()</formula>
    </cfRule>
    <cfRule type="expression" dxfId="64" priority="2">
      <formula>L4&gt;TODAY()</formula>
    </cfRule>
    <cfRule type="expression" dxfId="63" priority="4">
      <formula>L4&lt;TODAY()</formula>
    </cfRule>
  </conditionalFormatting>
  <dataValidations count="1">
    <dataValidation type="date" allowBlank="1" showInputMessage="1" showErrorMessage="1" promptTitle="Sopimuksen päättymispäivämäärä" prompt="Syötä päivämäärä muodossa 00/00/0000" sqref="L4:L101" xr:uid="{F666CAA9-5FFB-4738-B6BB-27ED82703A64}">
      <formula1>45658</formula1>
      <formula2>46387</formula2>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1F84E33-70C0-4BF4-B9EB-6B427F055728}">
          <x14:formula1>
            <xm:f>Aputaulukko!$A$12:$A$15</xm:f>
          </x14:formula1>
          <xm:sqref>M5:M101 M104:M179</xm:sqref>
        </x14:dataValidation>
        <x14:dataValidation type="list" allowBlank="1" showInputMessage="1" showErrorMessage="1" promptTitle="Sopimuksen voimassaolo" prompt="Solu muuttuu punaiseksi, mikäli sopimus ei ole voimassa_x000a__x000a_Solu on vihreä, mikäli sopimus on voimassa_x000a__x000a_Väri määräytyy sopimuspäivämäärän mukaan" xr:uid="{4891EF09-9C88-48FE-AF96-9028FE91A0CD}">
          <x14:formula1>
            <xm:f>Aputaulukko!$A$12:$A$15</xm:f>
          </x14:formula1>
          <xm:sqref>M4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C0B97-550E-49F5-8F52-412BF6B6307A}">
  <sheetPr codeName="Taul1"/>
  <dimension ref="A1:Z112"/>
  <sheetViews>
    <sheetView tabSelected="1" workbookViewId="0">
      <selection activeCell="Q1" sqref="Q1:Q2"/>
    </sheetView>
  </sheetViews>
  <sheetFormatPr defaultColWidth="0" defaultRowHeight="15" zeroHeight="1" x14ac:dyDescent="0.25"/>
  <cols>
    <col min="1" max="1" width="8.7109375" style="55" customWidth="1"/>
    <col min="2" max="2" width="22" style="9" customWidth="1"/>
    <col min="3" max="3" width="21.28515625" style="8" customWidth="1"/>
    <col min="4" max="4" width="9" style="14" customWidth="1"/>
    <col min="5" max="5" width="22.140625" style="14" customWidth="1"/>
    <col min="6" max="6" width="21" style="14" customWidth="1"/>
    <col min="7" max="7" width="15" style="14" customWidth="1"/>
    <col min="8" max="8" width="14.28515625" style="8" customWidth="1"/>
    <col min="9" max="9" width="13.7109375" style="8" customWidth="1"/>
    <col min="10" max="10" width="15.85546875" style="8" customWidth="1"/>
    <col min="11" max="11" width="8.7109375" style="55" customWidth="1"/>
    <col min="12" max="12" width="37.28515625" style="55" customWidth="1"/>
    <col min="13" max="13" width="13" style="55" customWidth="1"/>
    <col min="14" max="14" width="16.28515625" style="55" customWidth="1"/>
    <col min="15" max="15" width="8.7109375" style="55" customWidth="1"/>
    <col min="16" max="16" width="8.7109375" style="130" customWidth="1"/>
    <col min="17" max="25" width="8.7109375" style="8" hidden="1" customWidth="1"/>
    <col min="26" max="26" width="0" style="8" hidden="1" customWidth="1"/>
    <col min="27" max="16384" width="8.7109375" style="8" hidden="1"/>
  </cols>
  <sheetData>
    <row r="1" spans="1:16" x14ac:dyDescent="0.25">
      <c r="A1" s="132"/>
      <c r="B1" s="132"/>
      <c r="C1" s="132"/>
      <c r="D1" s="132"/>
      <c r="E1" s="132"/>
      <c r="F1" s="132"/>
      <c r="G1" s="132"/>
      <c r="H1" s="132"/>
      <c r="I1" s="132"/>
      <c r="J1" s="132"/>
      <c r="K1" s="132"/>
      <c r="L1" s="132"/>
      <c r="M1" s="132"/>
      <c r="N1" s="132"/>
      <c r="O1" s="132"/>
      <c r="P1" s="130" t="s">
        <v>2</v>
      </c>
    </row>
    <row r="2" spans="1:16" x14ac:dyDescent="0.25">
      <c r="A2" s="132"/>
      <c r="B2" s="131" t="s">
        <v>111</v>
      </c>
      <c r="C2" s="131"/>
      <c r="D2" s="131"/>
      <c r="E2" s="131"/>
      <c r="F2" s="131"/>
      <c r="G2" s="131"/>
      <c r="H2" s="131"/>
      <c r="I2" s="131"/>
      <c r="J2" s="131"/>
      <c r="K2" s="129"/>
      <c r="L2" s="129"/>
      <c r="M2" s="129"/>
      <c r="N2" s="129"/>
      <c r="O2" s="129"/>
    </row>
    <row r="3" spans="1:16" x14ac:dyDescent="0.25">
      <c r="A3" s="132"/>
      <c r="B3" s="61" t="s">
        <v>18</v>
      </c>
      <c r="C3" s="40" t="s">
        <v>0</v>
      </c>
      <c r="D3" s="74" t="s">
        <v>125</v>
      </c>
      <c r="E3" s="74" t="s">
        <v>96</v>
      </c>
      <c r="F3" s="74" t="s">
        <v>109</v>
      </c>
      <c r="G3" s="74" t="s">
        <v>97</v>
      </c>
      <c r="H3" s="74" t="s">
        <v>94</v>
      </c>
      <c r="I3" s="74" t="s">
        <v>14</v>
      </c>
      <c r="J3" s="74" t="s">
        <v>95</v>
      </c>
      <c r="K3" s="129"/>
      <c r="L3" s="28" t="s">
        <v>2</v>
      </c>
      <c r="M3" s="29" t="s">
        <v>100</v>
      </c>
      <c r="N3" s="30" t="s">
        <v>101</v>
      </c>
      <c r="O3" s="132"/>
    </row>
    <row r="4" spans="1:16" x14ac:dyDescent="0.25">
      <c r="A4" s="132"/>
      <c r="B4" s="93" t="s">
        <v>130</v>
      </c>
      <c r="C4" s="23" t="s">
        <v>130</v>
      </c>
      <c r="D4" s="124">
        <f>Taulukko1[[#Totals],[Määrä/12kk]]</f>
        <v>130</v>
      </c>
      <c r="E4" s="94"/>
      <c r="F4" s="24" t="s">
        <v>2</v>
      </c>
      <c r="G4" s="94" t="s">
        <v>2</v>
      </c>
      <c r="H4" s="23">
        <f>Taulukko1[[#Totals],[kesto/12kk]]</f>
        <v>9600</v>
      </c>
      <c r="I4" s="23">
        <f>H4/12</f>
        <v>800</v>
      </c>
      <c r="J4" s="23">
        <f>Taulukko1[[#Totals],[hinta yht.]]</f>
        <v>11580</v>
      </c>
      <c r="K4" s="129"/>
      <c r="L4" s="31" t="s">
        <v>98</v>
      </c>
      <c r="M4" s="32">
        <f>J101</f>
        <v>60480</v>
      </c>
      <c r="N4" s="33">
        <f>Taulukko4[[#This Row],[vuodessa]]/12</f>
        <v>5040</v>
      </c>
      <c r="O4" s="132"/>
    </row>
    <row r="5" spans="1:16" x14ac:dyDescent="0.25">
      <c r="A5" s="132"/>
      <c r="B5" s="89" t="s">
        <v>166</v>
      </c>
      <c r="C5" s="90" t="s">
        <v>167</v>
      </c>
      <c r="D5" s="125">
        <v>8</v>
      </c>
      <c r="E5" s="125">
        <v>180</v>
      </c>
      <c r="F5" s="24">
        <f>Taulukko5[[#This Row],[á hinta (ei sis. alv.)]]*1.255</f>
        <v>225.89999999999998</v>
      </c>
      <c r="G5" s="125">
        <v>80</v>
      </c>
      <c r="H5" s="23">
        <f t="shared" ref="H5:H20" si="0">D5*G5</f>
        <v>640</v>
      </c>
      <c r="I5" s="23">
        <f t="shared" ref="I5:I68" si="1">H5/12</f>
        <v>53.333333333333336</v>
      </c>
      <c r="J5" s="23">
        <f t="shared" ref="J5:J20" si="2">D5*E5</f>
        <v>1440</v>
      </c>
      <c r="K5" s="129"/>
      <c r="L5" s="34" t="s">
        <v>99</v>
      </c>
      <c r="M5" s="35">
        <f>H102</f>
        <v>297.83333333333331</v>
      </c>
      <c r="N5" s="36">
        <f>Taulukko4[[#This Row],[vuodessa]]/12</f>
        <v>24.819444444444443</v>
      </c>
      <c r="O5" s="132"/>
    </row>
    <row r="6" spans="1:16" x14ac:dyDescent="0.25">
      <c r="A6" s="132"/>
      <c r="B6" s="89" t="s">
        <v>166</v>
      </c>
      <c r="C6" s="90" t="s">
        <v>167</v>
      </c>
      <c r="D6" s="125">
        <v>8</v>
      </c>
      <c r="E6" s="125">
        <v>180</v>
      </c>
      <c r="F6" s="24">
        <f>Taulukko5[[#This Row],[á hinta (ei sis. alv.)]]*1.255</f>
        <v>225.89999999999998</v>
      </c>
      <c r="G6" s="125">
        <v>90</v>
      </c>
      <c r="H6" s="23">
        <f t="shared" si="0"/>
        <v>720</v>
      </c>
      <c r="I6" s="23">
        <f t="shared" si="1"/>
        <v>60</v>
      </c>
      <c r="J6" s="23">
        <f t="shared" si="2"/>
        <v>1440</v>
      </c>
      <c r="K6" s="129"/>
      <c r="L6" s="120"/>
      <c r="M6" s="121" t="s">
        <v>2</v>
      </c>
      <c r="N6" s="122" t="s">
        <v>2</v>
      </c>
      <c r="O6" s="117"/>
    </row>
    <row r="7" spans="1:16" x14ac:dyDescent="0.25">
      <c r="A7" s="132"/>
      <c r="B7" s="89" t="s">
        <v>166</v>
      </c>
      <c r="C7" s="90" t="s">
        <v>163</v>
      </c>
      <c r="D7" s="125">
        <v>8</v>
      </c>
      <c r="E7" s="125">
        <v>320</v>
      </c>
      <c r="F7" s="24">
        <f>Taulukko5[[#This Row],[á hinta (ei sis. alv.)]]*1.255</f>
        <v>401.59999999999997</v>
      </c>
      <c r="G7" s="125">
        <v>90</v>
      </c>
      <c r="H7" s="23">
        <f t="shared" si="0"/>
        <v>720</v>
      </c>
      <c r="I7" s="23">
        <f t="shared" si="1"/>
        <v>60</v>
      </c>
      <c r="J7" s="23">
        <f t="shared" si="2"/>
        <v>2560</v>
      </c>
      <c r="K7" s="129"/>
      <c r="L7" s="31" t="s">
        <v>169</v>
      </c>
      <c r="M7" s="118">
        <v>10</v>
      </c>
      <c r="N7" s="119" t="s">
        <v>2</v>
      </c>
      <c r="O7" s="117"/>
    </row>
    <row r="8" spans="1:16" x14ac:dyDescent="0.25">
      <c r="A8" s="132"/>
      <c r="B8" s="89" t="s">
        <v>131</v>
      </c>
      <c r="C8" s="90" t="s">
        <v>163</v>
      </c>
      <c r="D8" s="125">
        <v>8</v>
      </c>
      <c r="E8" s="125">
        <v>270</v>
      </c>
      <c r="F8" s="24">
        <f>Taulukko5[[#This Row],[á hinta (ei sis. alv.)]]*1.255</f>
        <v>338.84999999999997</v>
      </c>
      <c r="G8" s="125">
        <v>90</v>
      </c>
      <c r="H8" s="23">
        <f t="shared" si="0"/>
        <v>720</v>
      </c>
      <c r="I8" s="23">
        <f t="shared" si="1"/>
        <v>60</v>
      </c>
      <c r="J8" s="23">
        <f t="shared" si="2"/>
        <v>2160</v>
      </c>
      <c r="K8" s="129"/>
      <c r="L8" s="64"/>
      <c r="M8" s="19" t="s">
        <v>110</v>
      </c>
      <c r="N8" s="19" t="s">
        <v>105</v>
      </c>
      <c r="O8" s="117"/>
    </row>
    <row r="9" spans="1:16" ht="30.75" customHeight="1" x14ac:dyDescent="0.25">
      <c r="A9" s="132"/>
      <c r="B9" s="89" t="s">
        <v>132</v>
      </c>
      <c r="C9" s="90" t="s">
        <v>163</v>
      </c>
      <c r="D9" s="125">
        <v>8</v>
      </c>
      <c r="E9" s="125">
        <v>250</v>
      </c>
      <c r="F9" s="24">
        <f>Taulukko5[[#This Row],[á hinta (ei sis. alv.)]]*1.255</f>
        <v>313.75</v>
      </c>
      <c r="G9" s="125">
        <v>90</v>
      </c>
      <c r="H9" s="23">
        <f t="shared" si="0"/>
        <v>720</v>
      </c>
      <c r="I9" s="23">
        <f t="shared" si="1"/>
        <v>60</v>
      </c>
      <c r="J9" s="23">
        <f t="shared" si="2"/>
        <v>2000</v>
      </c>
      <c r="K9" s="129"/>
      <c r="L9" s="65" t="s">
        <v>142</v>
      </c>
      <c r="M9" s="66">
        <v>0</v>
      </c>
      <c r="N9" s="123">
        <f>'3. Paljonko voin maksaa palkkaa'!F30</f>
        <v>4219.2</v>
      </c>
      <c r="O9" s="117"/>
    </row>
    <row r="10" spans="1:16" ht="30" customHeight="1" x14ac:dyDescent="0.25">
      <c r="A10" s="132"/>
      <c r="B10" s="89" t="s">
        <v>133</v>
      </c>
      <c r="C10" s="90" t="s">
        <v>163</v>
      </c>
      <c r="D10" s="125">
        <v>8</v>
      </c>
      <c r="E10" s="125">
        <v>180</v>
      </c>
      <c r="F10" s="24">
        <f>Taulukko5[[#This Row],[á hinta (ei sis. alv.)]]*1.255</f>
        <v>225.89999999999998</v>
      </c>
      <c r="G10" s="125">
        <v>45</v>
      </c>
      <c r="H10" s="23">
        <f t="shared" si="0"/>
        <v>360</v>
      </c>
      <c r="I10" s="23">
        <f t="shared" si="1"/>
        <v>30</v>
      </c>
      <c r="J10" s="23">
        <f t="shared" si="2"/>
        <v>1440</v>
      </c>
      <c r="K10" s="129"/>
      <c r="L10" s="65" t="s">
        <v>143</v>
      </c>
      <c r="M10" s="67">
        <v>0.22</v>
      </c>
      <c r="N10" s="123">
        <f>N9*(100%-M10)</f>
        <v>3290.9760000000001</v>
      </c>
      <c r="O10" s="117"/>
    </row>
    <row r="11" spans="1:16" ht="30" customHeight="1" x14ac:dyDescent="0.25">
      <c r="A11" s="132"/>
      <c r="B11" s="89" t="s">
        <v>134</v>
      </c>
      <c r="C11" s="90" t="s">
        <v>163</v>
      </c>
      <c r="D11" s="125">
        <v>8</v>
      </c>
      <c r="E11" s="125">
        <v>270</v>
      </c>
      <c r="F11" s="24">
        <f>Taulukko5[[#This Row],[á hinta (ei sis. alv.)]]*1.255</f>
        <v>338.84999999999997</v>
      </c>
      <c r="G11" s="125">
        <v>90</v>
      </c>
      <c r="H11" s="23">
        <f t="shared" si="0"/>
        <v>720</v>
      </c>
      <c r="I11" s="23">
        <f t="shared" si="1"/>
        <v>60</v>
      </c>
      <c r="J11" s="23">
        <f t="shared" si="2"/>
        <v>2160</v>
      </c>
      <c r="K11" s="129"/>
      <c r="L11" s="65" t="s">
        <v>144</v>
      </c>
      <c r="M11" s="67">
        <v>0</v>
      </c>
      <c r="N11" s="123">
        <f>'3. Paljonko voin maksaa palkkaa'!F32</f>
        <v>-142.33333333333334</v>
      </c>
      <c r="O11" s="117"/>
    </row>
    <row r="12" spans="1:16" ht="30" customHeight="1" x14ac:dyDescent="0.25">
      <c r="A12" s="132"/>
      <c r="B12" s="89" t="s">
        <v>135</v>
      </c>
      <c r="C12" s="90" t="s">
        <v>163</v>
      </c>
      <c r="D12" s="125">
        <v>8</v>
      </c>
      <c r="E12" s="125">
        <v>320</v>
      </c>
      <c r="F12" s="24">
        <f>Taulukko5[[#This Row],[á hinta (ei sis. alv.)]]*1.255</f>
        <v>401.59999999999997</v>
      </c>
      <c r="G12" s="125">
        <v>50</v>
      </c>
      <c r="H12" s="23">
        <f t="shared" si="0"/>
        <v>400</v>
      </c>
      <c r="I12" s="23">
        <f t="shared" si="1"/>
        <v>33.333333333333336</v>
      </c>
      <c r="J12" s="23">
        <f t="shared" si="2"/>
        <v>2560</v>
      </c>
      <c r="K12" s="129"/>
      <c r="L12" s="65" t="s">
        <v>145</v>
      </c>
      <c r="M12" s="67">
        <f>M10</f>
        <v>0.22</v>
      </c>
      <c r="N12" s="123">
        <f t="shared" ref="N12" si="3">N11*(100%-M12)</f>
        <v>-111.02000000000001</v>
      </c>
      <c r="O12" s="117"/>
    </row>
    <row r="13" spans="1:16" s="16" customFormat="1" x14ac:dyDescent="0.25">
      <c r="A13" s="132"/>
      <c r="B13" s="89" t="s">
        <v>136</v>
      </c>
      <c r="C13" s="90" t="s">
        <v>163</v>
      </c>
      <c r="D13" s="125">
        <v>8</v>
      </c>
      <c r="E13" s="125">
        <v>340</v>
      </c>
      <c r="F13" s="24">
        <f>Taulukko5[[#This Row],[á hinta (ei sis. alv.)]]*1.255</f>
        <v>426.7</v>
      </c>
      <c r="G13" s="125">
        <v>90</v>
      </c>
      <c r="H13" s="23">
        <f t="shared" si="0"/>
        <v>720</v>
      </c>
      <c r="I13" s="23">
        <f t="shared" si="1"/>
        <v>60</v>
      </c>
      <c r="J13" s="23">
        <f t="shared" si="2"/>
        <v>2720</v>
      </c>
      <c r="K13" s="129"/>
      <c r="L13" s="117" t="s">
        <v>102</v>
      </c>
      <c r="M13" s="117"/>
      <c r="N13" s="117"/>
      <c r="O13" s="117"/>
      <c r="P13" s="130"/>
    </row>
    <row r="14" spans="1:16" s="16" customFormat="1" x14ac:dyDescent="0.25">
      <c r="A14" s="132"/>
      <c r="B14" s="89" t="s">
        <v>137</v>
      </c>
      <c r="C14" s="90" t="s">
        <v>163</v>
      </c>
      <c r="D14" s="125">
        <v>8</v>
      </c>
      <c r="E14" s="125">
        <v>320</v>
      </c>
      <c r="F14" s="24">
        <f>Taulukko5[[#This Row],[á hinta (ei sis. alv.)]]*1.255</f>
        <v>401.59999999999997</v>
      </c>
      <c r="G14" s="125">
        <v>60</v>
      </c>
      <c r="H14" s="23">
        <f t="shared" si="0"/>
        <v>480</v>
      </c>
      <c r="I14" s="23">
        <f t="shared" si="1"/>
        <v>40</v>
      </c>
      <c r="J14" s="23">
        <f t="shared" si="2"/>
        <v>2560</v>
      </c>
      <c r="K14" s="129"/>
      <c r="L14" s="117"/>
      <c r="M14" s="117"/>
      <c r="N14" s="117"/>
      <c r="O14" s="117"/>
      <c r="P14" s="130"/>
    </row>
    <row r="15" spans="1:16" x14ac:dyDescent="0.25">
      <c r="A15" s="132"/>
      <c r="B15" s="89" t="s">
        <v>164</v>
      </c>
      <c r="C15" s="90" t="s">
        <v>165</v>
      </c>
      <c r="D15" s="125">
        <v>15</v>
      </c>
      <c r="E15" s="125">
        <v>100</v>
      </c>
      <c r="F15" s="24">
        <f>Taulukko5[[#This Row],[á hinta (ei sis. alv.)]]*1.255</f>
        <v>125.49999999999999</v>
      </c>
      <c r="G15" s="125">
        <v>0</v>
      </c>
      <c r="H15" s="23">
        <f t="shared" si="0"/>
        <v>0</v>
      </c>
      <c r="I15" s="23">
        <f t="shared" si="1"/>
        <v>0</v>
      </c>
      <c r="J15" s="23">
        <f t="shared" si="2"/>
        <v>1500</v>
      </c>
      <c r="K15" s="129"/>
      <c r="L15" s="117"/>
      <c r="M15" s="117"/>
      <c r="N15" s="117"/>
      <c r="O15" s="117"/>
    </row>
    <row r="16" spans="1:16" x14ac:dyDescent="0.25">
      <c r="A16" s="132"/>
      <c r="B16" s="89" t="s">
        <v>147</v>
      </c>
      <c r="C16" s="90" t="s">
        <v>154</v>
      </c>
      <c r="D16" s="125">
        <v>4</v>
      </c>
      <c r="E16" s="125">
        <v>180</v>
      </c>
      <c r="F16" s="24">
        <f>Taulukko5[[#This Row],[á hinta (ei sis. alv.)]]*1.255</f>
        <v>225.89999999999998</v>
      </c>
      <c r="G16" s="125">
        <v>60</v>
      </c>
      <c r="H16" s="23">
        <f t="shared" si="0"/>
        <v>240</v>
      </c>
      <c r="I16" s="23">
        <f t="shared" si="1"/>
        <v>20</v>
      </c>
      <c r="J16" s="23">
        <f t="shared" si="2"/>
        <v>720</v>
      </c>
      <c r="K16" s="129"/>
      <c r="L16" s="117"/>
      <c r="M16" s="117"/>
      <c r="N16" s="117"/>
      <c r="O16" s="117"/>
    </row>
    <row r="17" spans="1:15" x14ac:dyDescent="0.25">
      <c r="A17" s="132"/>
      <c r="B17" s="89" t="s">
        <v>148</v>
      </c>
      <c r="C17" s="90" t="s">
        <v>155</v>
      </c>
      <c r="D17" s="125">
        <v>4</v>
      </c>
      <c r="E17" s="125">
        <v>180</v>
      </c>
      <c r="F17" s="24">
        <f>Taulukko5[[#This Row],[á hinta (ei sis. alv.)]]*1.255</f>
        <v>225.89999999999998</v>
      </c>
      <c r="G17" s="125">
        <v>60</v>
      </c>
      <c r="H17" s="23">
        <f t="shared" si="0"/>
        <v>240</v>
      </c>
      <c r="I17" s="23">
        <f t="shared" si="1"/>
        <v>20</v>
      </c>
      <c r="J17" s="23">
        <f t="shared" si="2"/>
        <v>720</v>
      </c>
      <c r="K17" s="129"/>
      <c r="L17" s="117"/>
      <c r="M17" s="117"/>
      <c r="N17" s="117"/>
      <c r="O17" s="117"/>
    </row>
    <row r="18" spans="1:15" x14ac:dyDescent="0.25">
      <c r="A18" s="132"/>
      <c r="B18" s="89" t="s">
        <v>149</v>
      </c>
      <c r="C18" s="90" t="s">
        <v>156</v>
      </c>
      <c r="D18" s="125">
        <v>4</v>
      </c>
      <c r="E18" s="125">
        <v>380</v>
      </c>
      <c r="F18" s="24">
        <f>Taulukko5[[#This Row],[á hinta (ei sis. alv.)]]*1.255</f>
        <v>476.9</v>
      </c>
      <c r="G18" s="125">
        <v>90</v>
      </c>
      <c r="H18" s="23">
        <f t="shared" si="0"/>
        <v>360</v>
      </c>
      <c r="I18" s="23">
        <f t="shared" si="1"/>
        <v>30</v>
      </c>
      <c r="J18" s="23">
        <f t="shared" si="2"/>
        <v>1520</v>
      </c>
      <c r="K18" s="129"/>
      <c r="L18" s="117"/>
      <c r="M18" s="117"/>
      <c r="N18" s="117"/>
      <c r="O18" s="117"/>
    </row>
    <row r="19" spans="1:15" x14ac:dyDescent="0.25">
      <c r="A19" s="132"/>
      <c r="B19" s="89" t="s">
        <v>150</v>
      </c>
      <c r="C19" s="90" t="s">
        <v>157</v>
      </c>
      <c r="D19" s="125">
        <v>3</v>
      </c>
      <c r="E19" s="125">
        <v>340</v>
      </c>
      <c r="F19" s="24">
        <f>Taulukko5[[#This Row],[á hinta (ei sis. alv.)]]*1.255</f>
        <v>426.7</v>
      </c>
      <c r="G19" s="125">
        <v>90</v>
      </c>
      <c r="H19" s="23">
        <f t="shared" si="0"/>
        <v>270</v>
      </c>
      <c r="I19" s="23">
        <f t="shared" si="1"/>
        <v>22.5</v>
      </c>
      <c r="J19" s="23">
        <f t="shared" si="2"/>
        <v>1020</v>
      </c>
      <c r="K19" s="129"/>
      <c r="L19" s="117"/>
      <c r="M19" s="117"/>
      <c r="N19" s="117"/>
      <c r="O19" s="117"/>
    </row>
    <row r="20" spans="1:15" x14ac:dyDescent="0.25">
      <c r="A20" s="132"/>
      <c r="B20" s="89" t="s">
        <v>151</v>
      </c>
      <c r="C20" s="90" t="s">
        <v>158</v>
      </c>
      <c r="D20" s="125">
        <v>1</v>
      </c>
      <c r="E20" s="125">
        <v>180</v>
      </c>
      <c r="F20" s="24">
        <f>Taulukko5[[#This Row],[á hinta (ei sis. alv.)]]*1.255</f>
        <v>225.89999999999998</v>
      </c>
      <c r="G20" s="125">
        <v>60</v>
      </c>
      <c r="H20" s="23">
        <f t="shared" si="0"/>
        <v>60</v>
      </c>
      <c r="I20" s="23">
        <f t="shared" si="1"/>
        <v>5</v>
      </c>
      <c r="J20" s="23">
        <f t="shared" si="2"/>
        <v>180</v>
      </c>
      <c r="K20" s="129"/>
      <c r="L20" s="117"/>
      <c r="M20" s="117"/>
      <c r="N20" s="117"/>
      <c r="O20" s="117"/>
    </row>
    <row r="21" spans="1:15" x14ac:dyDescent="0.25">
      <c r="A21" s="132"/>
      <c r="B21" s="89" t="s">
        <v>152</v>
      </c>
      <c r="C21" s="90" t="s">
        <v>159</v>
      </c>
      <c r="D21" s="125">
        <v>6</v>
      </c>
      <c r="E21" s="125">
        <v>3000</v>
      </c>
      <c r="F21" s="24">
        <f>Taulukko5[[#This Row],[á hinta (ei sis. alv.)]]*1.255</f>
        <v>3764.9999999999995</v>
      </c>
      <c r="G21" s="125">
        <v>90</v>
      </c>
      <c r="H21" s="23">
        <f>D21*G21</f>
        <v>540</v>
      </c>
      <c r="I21" s="23">
        <f t="shared" si="1"/>
        <v>45</v>
      </c>
      <c r="J21" s="23">
        <f>D21*E21</f>
        <v>18000</v>
      </c>
      <c r="K21" s="129"/>
      <c r="L21" s="117"/>
      <c r="M21" s="117"/>
      <c r="N21" s="117"/>
      <c r="O21" s="117"/>
    </row>
    <row r="22" spans="1:15" x14ac:dyDescent="0.25">
      <c r="A22" s="132"/>
      <c r="B22" s="89" t="s">
        <v>153</v>
      </c>
      <c r="C22" s="90" t="s">
        <v>160</v>
      </c>
      <c r="D22" s="125">
        <v>6</v>
      </c>
      <c r="E22" s="125">
        <v>700</v>
      </c>
      <c r="F22" s="24">
        <f>Taulukko5[[#This Row],[á hinta (ei sis. alv.)]]*1.255</f>
        <v>878.49999999999989</v>
      </c>
      <c r="G22" s="125">
        <v>60</v>
      </c>
      <c r="H22" s="23">
        <f>D22*G22</f>
        <v>360</v>
      </c>
      <c r="I22" s="23">
        <f t="shared" si="1"/>
        <v>30</v>
      </c>
      <c r="J22" s="23">
        <f t="shared" ref="J22:J85" si="4">D22*E22</f>
        <v>4200</v>
      </c>
      <c r="K22" s="129"/>
      <c r="L22" s="117"/>
      <c r="M22" s="117"/>
      <c r="N22" s="117"/>
      <c r="O22" s="117"/>
    </row>
    <row r="23" spans="1:15" x14ac:dyDescent="0.25">
      <c r="A23" s="132"/>
      <c r="B23" s="89">
        <f>Taulukko1[[#This Row],[Organisaatio]]</f>
        <v>0</v>
      </c>
      <c r="C23" s="90"/>
      <c r="D23" s="125"/>
      <c r="E23" s="125"/>
      <c r="F23" s="25"/>
      <c r="G23" s="125"/>
      <c r="H23" s="23"/>
      <c r="I23" s="23">
        <f t="shared" si="1"/>
        <v>0</v>
      </c>
      <c r="J23" s="23">
        <f t="shared" si="4"/>
        <v>0</v>
      </c>
      <c r="K23" s="129"/>
      <c r="L23" s="117"/>
      <c r="M23" s="117"/>
      <c r="N23" s="117"/>
      <c r="O23" s="117"/>
    </row>
    <row r="24" spans="1:15" x14ac:dyDescent="0.25">
      <c r="A24" s="132"/>
      <c r="B24" s="89">
        <f>Taulukko1[[#This Row],[Organisaatio]]</f>
        <v>0</v>
      </c>
      <c r="C24" s="90"/>
      <c r="D24" s="125"/>
      <c r="E24" s="125"/>
      <c r="F24" s="25"/>
      <c r="G24" s="125"/>
      <c r="H24" s="23"/>
      <c r="I24" s="23">
        <f t="shared" si="1"/>
        <v>0</v>
      </c>
      <c r="J24" s="23">
        <f t="shared" si="4"/>
        <v>0</v>
      </c>
      <c r="K24" s="129"/>
      <c r="L24" s="117"/>
      <c r="M24" s="117"/>
      <c r="N24" s="117"/>
      <c r="O24" s="117"/>
    </row>
    <row r="25" spans="1:15" x14ac:dyDescent="0.25">
      <c r="A25" s="132"/>
      <c r="B25" s="89">
        <f>Taulukko1[[#This Row],[Organisaatio]]</f>
        <v>0</v>
      </c>
      <c r="C25" s="90"/>
      <c r="D25" s="125"/>
      <c r="E25" s="125"/>
      <c r="F25" s="25"/>
      <c r="G25" s="125"/>
      <c r="H25" s="23"/>
      <c r="I25" s="23">
        <f t="shared" si="1"/>
        <v>0</v>
      </c>
      <c r="J25" s="23">
        <f t="shared" si="4"/>
        <v>0</v>
      </c>
      <c r="K25" s="129"/>
      <c r="L25" s="117"/>
      <c r="M25" s="117"/>
      <c r="N25" s="117"/>
      <c r="O25" s="117"/>
    </row>
    <row r="26" spans="1:15" x14ac:dyDescent="0.25">
      <c r="A26" s="132"/>
      <c r="B26" s="89">
        <f>Taulukko1[[#This Row],[Organisaatio]]</f>
        <v>0</v>
      </c>
      <c r="C26" s="90"/>
      <c r="D26" s="125"/>
      <c r="E26" s="125"/>
      <c r="F26" s="25"/>
      <c r="G26" s="125"/>
      <c r="H26" s="23"/>
      <c r="I26" s="23">
        <f t="shared" si="1"/>
        <v>0</v>
      </c>
      <c r="J26" s="23">
        <f t="shared" si="4"/>
        <v>0</v>
      </c>
      <c r="K26" s="129"/>
      <c r="L26" s="117"/>
      <c r="M26" s="117"/>
      <c r="N26" s="117"/>
      <c r="O26" s="117"/>
    </row>
    <row r="27" spans="1:15" x14ac:dyDescent="0.25">
      <c r="A27" s="132"/>
      <c r="B27" s="89">
        <f>Taulukko1[[#This Row],[Organisaatio]]</f>
        <v>0</v>
      </c>
      <c r="C27" s="90"/>
      <c r="D27" s="125"/>
      <c r="E27" s="125"/>
      <c r="F27" s="25"/>
      <c r="G27" s="125"/>
      <c r="H27" s="23"/>
      <c r="I27" s="23">
        <f t="shared" si="1"/>
        <v>0</v>
      </c>
      <c r="J27" s="23">
        <f t="shared" si="4"/>
        <v>0</v>
      </c>
      <c r="K27" s="129"/>
      <c r="L27" s="117"/>
      <c r="M27" s="117"/>
      <c r="N27" s="117"/>
      <c r="O27" s="117"/>
    </row>
    <row r="28" spans="1:15" x14ac:dyDescent="0.25">
      <c r="A28" s="132"/>
      <c r="B28" s="89">
        <f>Taulukko1[[#This Row],[Organisaatio]]</f>
        <v>0</v>
      </c>
      <c r="C28" s="90"/>
      <c r="D28" s="125"/>
      <c r="E28" s="125"/>
      <c r="F28" s="25"/>
      <c r="G28" s="125"/>
      <c r="H28" s="23"/>
      <c r="I28" s="23">
        <f t="shared" si="1"/>
        <v>0</v>
      </c>
      <c r="J28" s="23">
        <f t="shared" si="4"/>
        <v>0</v>
      </c>
      <c r="K28" s="129"/>
      <c r="L28" s="117"/>
      <c r="M28" s="117"/>
      <c r="N28" s="117"/>
      <c r="O28" s="117"/>
    </row>
    <row r="29" spans="1:15" x14ac:dyDescent="0.25">
      <c r="A29" s="132"/>
      <c r="B29" s="89">
        <f>Taulukko1[[#This Row],[Organisaatio]]</f>
        <v>0</v>
      </c>
      <c r="C29" s="90"/>
      <c r="D29" s="125"/>
      <c r="E29" s="125"/>
      <c r="F29" s="25"/>
      <c r="G29" s="125"/>
      <c r="H29" s="23"/>
      <c r="I29" s="23">
        <f t="shared" si="1"/>
        <v>0</v>
      </c>
      <c r="J29" s="23">
        <f t="shared" si="4"/>
        <v>0</v>
      </c>
      <c r="K29" s="129"/>
      <c r="L29" s="117"/>
      <c r="M29" s="117"/>
      <c r="N29" s="117"/>
      <c r="O29" s="117"/>
    </row>
    <row r="30" spans="1:15" x14ac:dyDescent="0.25">
      <c r="A30" s="132"/>
      <c r="B30" s="89">
        <f>Taulukko1[[#This Row],[Organisaatio]]</f>
        <v>0</v>
      </c>
      <c r="C30" s="90"/>
      <c r="D30" s="125"/>
      <c r="E30" s="125"/>
      <c r="F30" s="25"/>
      <c r="G30" s="125"/>
      <c r="H30" s="23"/>
      <c r="I30" s="23">
        <f t="shared" si="1"/>
        <v>0</v>
      </c>
      <c r="J30" s="23">
        <f t="shared" si="4"/>
        <v>0</v>
      </c>
      <c r="K30" s="129"/>
      <c r="L30" s="117"/>
      <c r="M30" s="117"/>
      <c r="N30" s="117"/>
      <c r="O30" s="117"/>
    </row>
    <row r="31" spans="1:15" x14ac:dyDescent="0.25">
      <c r="A31" s="132"/>
      <c r="B31" s="89">
        <f>Taulukko1[[#This Row],[Organisaatio]]</f>
        <v>0</v>
      </c>
      <c r="C31" s="90"/>
      <c r="D31" s="125"/>
      <c r="E31" s="125"/>
      <c r="F31" s="25"/>
      <c r="G31" s="125"/>
      <c r="H31" s="23"/>
      <c r="I31" s="23">
        <f t="shared" si="1"/>
        <v>0</v>
      </c>
      <c r="J31" s="23">
        <f t="shared" si="4"/>
        <v>0</v>
      </c>
      <c r="K31" s="129"/>
      <c r="L31" s="117"/>
      <c r="M31" s="117"/>
      <c r="N31" s="117"/>
      <c r="O31" s="117"/>
    </row>
    <row r="32" spans="1:15" x14ac:dyDescent="0.25">
      <c r="A32" s="132"/>
      <c r="B32" s="89">
        <f>Taulukko1[[#This Row],[Organisaatio]]</f>
        <v>0</v>
      </c>
      <c r="C32" s="90"/>
      <c r="D32" s="125"/>
      <c r="E32" s="125"/>
      <c r="F32" s="25"/>
      <c r="G32" s="125"/>
      <c r="H32" s="23"/>
      <c r="I32" s="23">
        <f t="shared" si="1"/>
        <v>0</v>
      </c>
      <c r="J32" s="23">
        <f t="shared" si="4"/>
        <v>0</v>
      </c>
      <c r="K32" s="129"/>
      <c r="L32" s="117"/>
      <c r="M32" s="117"/>
      <c r="N32" s="117"/>
      <c r="O32" s="117"/>
    </row>
    <row r="33" spans="1:15" x14ac:dyDescent="0.25">
      <c r="A33" s="132"/>
      <c r="B33" s="89">
        <f>Taulukko1[[#This Row],[Organisaatio]]</f>
        <v>0</v>
      </c>
      <c r="C33" s="90"/>
      <c r="D33" s="125"/>
      <c r="E33" s="125"/>
      <c r="F33" s="25"/>
      <c r="G33" s="125"/>
      <c r="H33" s="23"/>
      <c r="I33" s="23">
        <f t="shared" si="1"/>
        <v>0</v>
      </c>
      <c r="J33" s="23">
        <f t="shared" si="4"/>
        <v>0</v>
      </c>
      <c r="K33" s="129"/>
      <c r="L33" s="117"/>
      <c r="M33" s="117"/>
      <c r="N33" s="117"/>
      <c r="O33" s="117"/>
    </row>
    <row r="34" spans="1:15" x14ac:dyDescent="0.25">
      <c r="A34" s="132"/>
      <c r="B34" s="89">
        <f>Taulukko1[[#This Row],[Organisaatio]]</f>
        <v>0</v>
      </c>
      <c r="C34" s="90"/>
      <c r="D34" s="125"/>
      <c r="E34" s="125"/>
      <c r="F34" s="25"/>
      <c r="G34" s="125"/>
      <c r="H34" s="23"/>
      <c r="I34" s="23">
        <f t="shared" si="1"/>
        <v>0</v>
      </c>
      <c r="J34" s="23">
        <f t="shared" si="4"/>
        <v>0</v>
      </c>
      <c r="K34" s="129"/>
      <c r="L34" s="117"/>
      <c r="M34" s="117"/>
      <c r="N34" s="117"/>
      <c r="O34" s="117"/>
    </row>
    <row r="35" spans="1:15" x14ac:dyDescent="0.25">
      <c r="A35" s="132"/>
      <c r="B35" s="89">
        <f>Taulukko1[[#This Row],[Organisaatio]]</f>
        <v>0</v>
      </c>
      <c r="C35" s="90"/>
      <c r="D35" s="125"/>
      <c r="E35" s="125"/>
      <c r="F35" s="25"/>
      <c r="G35" s="125"/>
      <c r="H35" s="23"/>
      <c r="I35" s="23">
        <f t="shared" si="1"/>
        <v>0</v>
      </c>
      <c r="J35" s="23">
        <f t="shared" si="4"/>
        <v>0</v>
      </c>
      <c r="K35" s="129"/>
      <c r="L35" s="117"/>
      <c r="M35" s="117"/>
      <c r="N35" s="117"/>
      <c r="O35" s="117"/>
    </row>
    <row r="36" spans="1:15" x14ac:dyDescent="0.25">
      <c r="A36" s="132"/>
      <c r="B36" s="89">
        <f>Taulukko1[[#This Row],[Organisaatio]]</f>
        <v>0</v>
      </c>
      <c r="C36" s="90"/>
      <c r="D36" s="125"/>
      <c r="E36" s="125"/>
      <c r="F36" s="25"/>
      <c r="G36" s="125"/>
      <c r="H36" s="23"/>
      <c r="I36" s="23">
        <f t="shared" si="1"/>
        <v>0</v>
      </c>
      <c r="J36" s="23">
        <f t="shared" si="4"/>
        <v>0</v>
      </c>
      <c r="K36" s="129"/>
      <c r="L36" s="117"/>
      <c r="M36" s="117"/>
      <c r="N36" s="117"/>
      <c r="O36" s="117"/>
    </row>
    <row r="37" spans="1:15" x14ac:dyDescent="0.25">
      <c r="A37" s="132"/>
      <c r="B37" s="89">
        <f>Taulukko1[[#This Row],[Organisaatio]]</f>
        <v>0</v>
      </c>
      <c r="C37" s="90"/>
      <c r="D37" s="125"/>
      <c r="E37" s="125"/>
      <c r="F37" s="25"/>
      <c r="G37" s="125"/>
      <c r="H37" s="23"/>
      <c r="I37" s="23">
        <f t="shared" si="1"/>
        <v>0</v>
      </c>
      <c r="J37" s="23">
        <f t="shared" si="4"/>
        <v>0</v>
      </c>
      <c r="K37" s="129"/>
      <c r="L37" s="117"/>
      <c r="M37" s="117"/>
      <c r="N37" s="117"/>
      <c r="O37" s="117"/>
    </row>
    <row r="38" spans="1:15" x14ac:dyDescent="0.25">
      <c r="A38" s="132"/>
      <c r="B38" s="89">
        <f>Taulukko1[[#This Row],[Organisaatio]]</f>
        <v>0</v>
      </c>
      <c r="C38" s="90"/>
      <c r="D38" s="125"/>
      <c r="E38" s="125"/>
      <c r="F38" s="25"/>
      <c r="G38" s="125"/>
      <c r="H38" s="23"/>
      <c r="I38" s="23">
        <f t="shared" si="1"/>
        <v>0</v>
      </c>
      <c r="J38" s="23">
        <f t="shared" si="4"/>
        <v>0</v>
      </c>
      <c r="K38" s="129"/>
      <c r="L38" s="117"/>
      <c r="M38" s="117"/>
      <c r="N38" s="117"/>
      <c r="O38" s="117"/>
    </row>
    <row r="39" spans="1:15" x14ac:dyDescent="0.25">
      <c r="A39" s="132"/>
      <c r="B39" s="89">
        <f>Taulukko1[[#This Row],[Organisaatio]]</f>
        <v>0</v>
      </c>
      <c r="C39" s="90"/>
      <c r="D39" s="125"/>
      <c r="E39" s="125"/>
      <c r="F39" s="25"/>
      <c r="G39" s="125"/>
      <c r="H39" s="23"/>
      <c r="I39" s="23">
        <f t="shared" si="1"/>
        <v>0</v>
      </c>
      <c r="J39" s="23">
        <f t="shared" si="4"/>
        <v>0</v>
      </c>
      <c r="K39" s="129"/>
      <c r="L39" s="117"/>
      <c r="M39" s="117"/>
      <c r="N39" s="117"/>
      <c r="O39" s="117"/>
    </row>
    <row r="40" spans="1:15" x14ac:dyDescent="0.25">
      <c r="A40" s="132"/>
      <c r="B40" s="89">
        <f>Taulukko1[[#This Row],[Organisaatio]]</f>
        <v>0</v>
      </c>
      <c r="C40" s="90"/>
      <c r="D40" s="125"/>
      <c r="E40" s="125"/>
      <c r="F40" s="25"/>
      <c r="G40" s="125"/>
      <c r="H40" s="23"/>
      <c r="I40" s="23">
        <f t="shared" si="1"/>
        <v>0</v>
      </c>
      <c r="J40" s="23">
        <f t="shared" si="4"/>
        <v>0</v>
      </c>
      <c r="K40" s="129"/>
      <c r="L40" s="117"/>
      <c r="M40" s="117"/>
      <c r="N40" s="117"/>
      <c r="O40" s="117"/>
    </row>
    <row r="41" spans="1:15" x14ac:dyDescent="0.25">
      <c r="A41" s="132"/>
      <c r="B41" s="89">
        <f>Taulukko1[[#This Row],[Organisaatio]]</f>
        <v>0</v>
      </c>
      <c r="C41" s="90"/>
      <c r="D41" s="125"/>
      <c r="E41" s="125"/>
      <c r="F41" s="25"/>
      <c r="G41" s="125"/>
      <c r="H41" s="23"/>
      <c r="I41" s="23">
        <f t="shared" si="1"/>
        <v>0</v>
      </c>
      <c r="J41" s="23">
        <f t="shared" si="4"/>
        <v>0</v>
      </c>
      <c r="K41" s="129"/>
      <c r="L41" s="117"/>
      <c r="M41" s="117"/>
      <c r="N41" s="117"/>
      <c r="O41" s="117"/>
    </row>
    <row r="42" spans="1:15" x14ac:dyDescent="0.25">
      <c r="A42" s="132"/>
      <c r="B42" s="89">
        <f>Taulukko1[[#This Row],[Organisaatio]]</f>
        <v>0</v>
      </c>
      <c r="C42" s="90"/>
      <c r="D42" s="125"/>
      <c r="E42" s="125"/>
      <c r="F42" s="25"/>
      <c r="G42" s="125"/>
      <c r="H42" s="23"/>
      <c r="I42" s="23">
        <f t="shared" si="1"/>
        <v>0</v>
      </c>
      <c r="J42" s="23">
        <f t="shared" si="4"/>
        <v>0</v>
      </c>
      <c r="K42" s="129"/>
      <c r="L42" s="117"/>
      <c r="M42" s="117"/>
      <c r="N42" s="117"/>
      <c r="O42" s="117"/>
    </row>
    <row r="43" spans="1:15" x14ac:dyDescent="0.25">
      <c r="A43" s="132"/>
      <c r="B43" s="89">
        <f>Taulukko1[[#This Row],[Organisaatio]]</f>
        <v>0</v>
      </c>
      <c r="C43" s="90"/>
      <c r="D43" s="125"/>
      <c r="E43" s="125"/>
      <c r="F43" s="25"/>
      <c r="G43" s="125"/>
      <c r="H43" s="23"/>
      <c r="I43" s="23">
        <f t="shared" si="1"/>
        <v>0</v>
      </c>
      <c r="J43" s="23">
        <f t="shared" si="4"/>
        <v>0</v>
      </c>
      <c r="K43" s="129"/>
      <c r="L43" s="117"/>
      <c r="M43" s="117"/>
      <c r="N43" s="117"/>
      <c r="O43" s="117"/>
    </row>
    <row r="44" spans="1:15" x14ac:dyDescent="0.25">
      <c r="A44" s="132"/>
      <c r="B44" s="89">
        <f>Taulukko1[[#This Row],[Organisaatio]]</f>
        <v>0</v>
      </c>
      <c r="C44" s="90"/>
      <c r="D44" s="125"/>
      <c r="E44" s="125"/>
      <c r="F44" s="25"/>
      <c r="G44" s="125"/>
      <c r="H44" s="23"/>
      <c r="I44" s="23">
        <f t="shared" si="1"/>
        <v>0</v>
      </c>
      <c r="J44" s="23">
        <f t="shared" si="4"/>
        <v>0</v>
      </c>
      <c r="K44" s="129"/>
      <c r="L44" s="117"/>
      <c r="M44" s="117"/>
      <c r="N44" s="117"/>
      <c r="O44" s="117"/>
    </row>
    <row r="45" spans="1:15" x14ac:dyDescent="0.25">
      <c r="A45" s="132"/>
      <c r="B45" s="89">
        <f>Taulukko1[[#This Row],[Organisaatio]]</f>
        <v>0</v>
      </c>
      <c r="C45" s="90"/>
      <c r="D45" s="125"/>
      <c r="E45" s="125"/>
      <c r="F45" s="25"/>
      <c r="G45" s="125"/>
      <c r="H45" s="23"/>
      <c r="I45" s="23">
        <f t="shared" si="1"/>
        <v>0</v>
      </c>
      <c r="J45" s="23">
        <f t="shared" si="4"/>
        <v>0</v>
      </c>
      <c r="K45" s="129"/>
      <c r="L45" s="117"/>
      <c r="M45" s="117"/>
      <c r="N45" s="117"/>
      <c r="O45" s="117"/>
    </row>
    <row r="46" spans="1:15" x14ac:dyDescent="0.25">
      <c r="A46" s="132"/>
      <c r="B46" s="89">
        <f>Taulukko1[[#This Row],[Organisaatio]]</f>
        <v>0</v>
      </c>
      <c r="C46" s="90"/>
      <c r="D46" s="125"/>
      <c r="E46" s="125"/>
      <c r="F46" s="25"/>
      <c r="G46" s="125"/>
      <c r="H46" s="23"/>
      <c r="I46" s="23">
        <f t="shared" si="1"/>
        <v>0</v>
      </c>
      <c r="J46" s="23">
        <f t="shared" si="4"/>
        <v>0</v>
      </c>
      <c r="K46" s="129"/>
      <c r="L46" s="117"/>
      <c r="M46" s="117"/>
      <c r="N46" s="117"/>
      <c r="O46" s="117"/>
    </row>
    <row r="47" spans="1:15" x14ac:dyDescent="0.25">
      <c r="A47" s="132"/>
      <c r="B47" s="89">
        <f>Taulukko1[[#This Row],[Organisaatio]]</f>
        <v>0</v>
      </c>
      <c r="C47" s="90"/>
      <c r="D47" s="125"/>
      <c r="E47" s="125"/>
      <c r="F47" s="25"/>
      <c r="G47" s="125"/>
      <c r="H47" s="23"/>
      <c r="I47" s="23">
        <f t="shared" si="1"/>
        <v>0</v>
      </c>
      <c r="J47" s="23">
        <f t="shared" si="4"/>
        <v>0</v>
      </c>
      <c r="K47" s="129"/>
      <c r="L47" s="117"/>
      <c r="M47" s="117"/>
      <c r="N47" s="117"/>
      <c r="O47" s="117"/>
    </row>
    <row r="48" spans="1:15" x14ac:dyDescent="0.25">
      <c r="A48" s="132"/>
      <c r="B48" s="89">
        <f>Taulukko1[[#This Row],[Organisaatio]]</f>
        <v>0</v>
      </c>
      <c r="C48" s="90"/>
      <c r="D48" s="125"/>
      <c r="E48" s="125"/>
      <c r="F48" s="25"/>
      <c r="G48" s="125"/>
      <c r="H48" s="23"/>
      <c r="I48" s="23">
        <f t="shared" si="1"/>
        <v>0</v>
      </c>
      <c r="J48" s="23">
        <f t="shared" si="4"/>
        <v>0</v>
      </c>
      <c r="K48" s="129"/>
      <c r="L48" s="117"/>
      <c r="M48" s="117"/>
      <c r="N48" s="117"/>
      <c r="O48" s="117"/>
    </row>
    <row r="49" spans="1:15" x14ac:dyDescent="0.25">
      <c r="A49" s="132"/>
      <c r="B49" s="89">
        <f>Taulukko1[[#This Row],[Organisaatio]]</f>
        <v>0</v>
      </c>
      <c r="C49" s="90"/>
      <c r="D49" s="125"/>
      <c r="E49" s="125"/>
      <c r="F49" s="25"/>
      <c r="G49" s="125"/>
      <c r="H49" s="23"/>
      <c r="I49" s="23">
        <f t="shared" si="1"/>
        <v>0</v>
      </c>
      <c r="J49" s="23">
        <f t="shared" si="4"/>
        <v>0</v>
      </c>
      <c r="K49" s="129"/>
      <c r="L49" s="117"/>
      <c r="M49" s="117"/>
      <c r="N49" s="117"/>
      <c r="O49" s="117"/>
    </row>
    <row r="50" spans="1:15" x14ac:dyDescent="0.25">
      <c r="A50" s="132"/>
      <c r="B50" s="89">
        <f>Taulukko1[[#This Row],[Organisaatio]]</f>
        <v>0</v>
      </c>
      <c r="C50" s="90"/>
      <c r="D50" s="125"/>
      <c r="E50" s="125"/>
      <c r="F50" s="25"/>
      <c r="G50" s="125"/>
      <c r="H50" s="23"/>
      <c r="I50" s="23">
        <f t="shared" si="1"/>
        <v>0</v>
      </c>
      <c r="J50" s="23">
        <f t="shared" si="4"/>
        <v>0</v>
      </c>
      <c r="K50" s="129"/>
      <c r="L50" s="117"/>
      <c r="M50" s="117"/>
      <c r="N50" s="117"/>
      <c r="O50" s="117"/>
    </row>
    <row r="51" spans="1:15" x14ac:dyDescent="0.25">
      <c r="A51" s="132"/>
      <c r="B51" s="89">
        <f>Taulukko1[[#This Row],[Organisaatio]]</f>
        <v>0</v>
      </c>
      <c r="C51" s="90"/>
      <c r="D51" s="125"/>
      <c r="E51" s="125"/>
      <c r="F51" s="25"/>
      <c r="G51" s="125"/>
      <c r="H51" s="23"/>
      <c r="I51" s="23">
        <f t="shared" si="1"/>
        <v>0</v>
      </c>
      <c r="J51" s="23">
        <f t="shared" si="4"/>
        <v>0</v>
      </c>
      <c r="K51" s="129"/>
      <c r="L51" s="117"/>
      <c r="M51" s="117"/>
      <c r="N51" s="117"/>
      <c r="O51" s="117"/>
    </row>
    <row r="52" spans="1:15" x14ac:dyDescent="0.25">
      <c r="A52" s="132"/>
      <c r="B52" s="89">
        <f>Taulukko1[[#This Row],[Organisaatio]]</f>
        <v>0</v>
      </c>
      <c r="C52" s="90"/>
      <c r="D52" s="125"/>
      <c r="E52" s="125"/>
      <c r="F52" s="25"/>
      <c r="G52" s="125"/>
      <c r="H52" s="23"/>
      <c r="I52" s="23">
        <f t="shared" si="1"/>
        <v>0</v>
      </c>
      <c r="J52" s="23">
        <f t="shared" si="4"/>
        <v>0</v>
      </c>
      <c r="K52" s="129"/>
      <c r="L52" s="117"/>
      <c r="M52" s="117"/>
      <c r="N52" s="117"/>
      <c r="O52" s="117"/>
    </row>
    <row r="53" spans="1:15" x14ac:dyDescent="0.25">
      <c r="A53" s="132"/>
      <c r="B53" s="89">
        <f>Taulukko1[[#This Row],[Organisaatio]]</f>
        <v>0</v>
      </c>
      <c r="C53" s="90"/>
      <c r="D53" s="125"/>
      <c r="E53" s="125"/>
      <c r="F53" s="25"/>
      <c r="G53" s="125"/>
      <c r="H53" s="23"/>
      <c r="I53" s="23">
        <f t="shared" si="1"/>
        <v>0</v>
      </c>
      <c r="J53" s="23">
        <f t="shared" si="4"/>
        <v>0</v>
      </c>
      <c r="K53" s="129"/>
      <c r="L53" s="117"/>
      <c r="M53" s="117"/>
      <c r="N53" s="117"/>
      <c r="O53" s="117"/>
    </row>
    <row r="54" spans="1:15" x14ac:dyDescent="0.25">
      <c r="A54" s="132"/>
      <c r="B54" s="89">
        <f>Taulukko1[[#This Row],[Organisaatio]]</f>
        <v>0</v>
      </c>
      <c r="C54" s="90"/>
      <c r="D54" s="125"/>
      <c r="E54" s="125"/>
      <c r="F54" s="25"/>
      <c r="G54" s="125"/>
      <c r="H54" s="23"/>
      <c r="I54" s="23">
        <f t="shared" si="1"/>
        <v>0</v>
      </c>
      <c r="J54" s="23">
        <f t="shared" si="4"/>
        <v>0</v>
      </c>
      <c r="K54" s="129"/>
      <c r="L54" s="117"/>
      <c r="M54" s="117"/>
      <c r="N54" s="117"/>
      <c r="O54" s="117"/>
    </row>
    <row r="55" spans="1:15" x14ac:dyDescent="0.25">
      <c r="A55" s="132"/>
      <c r="B55" s="89">
        <f>Taulukko1[[#This Row],[Organisaatio]]</f>
        <v>0</v>
      </c>
      <c r="C55" s="90"/>
      <c r="D55" s="125"/>
      <c r="E55" s="125"/>
      <c r="F55" s="25"/>
      <c r="G55" s="125"/>
      <c r="H55" s="23"/>
      <c r="I55" s="23">
        <f t="shared" si="1"/>
        <v>0</v>
      </c>
      <c r="J55" s="23">
        <f t="shared" si="4"/>
        <v>0</v>
      </c>
      <c r="K55" s="129"/>
      <c r="L55" s="117"/>
      <c r="M55" s="117"/>
      <c r="N55" s="117"/>
      <c r="O55" s="117"/>
    </row>
    <row r="56" spans="1:15" x14ac:dyDescent="0.25">
      <c r="A56" s="132"/>
      <c r="B56" s="89">
        <f>Taulukko1[[#This Row],[Organisaatio]]</f>
        <v>0</v>
      </c>
      <c r="C56" s="90"/>
      <c r="D56" s="125"/>
      <c r="E56" s="125"/>
      <c r="F56" s="25"/>
      <c r="G56" s="125"/>
      <c r="H56" s="23"/>
      <c r="I56" s="23">
        <f t="shared" si="1"/>
        <v>0</v>
      </c>
      <c r="J56" s="23">
        <f t="shared" si="4"/>
        <v>0</v>
      </c>
      <c r="K56" s="129"/>
      <c r="L56" s="117"/>
      <c r="M56" s="117"/>
      <c r="N56" s="117"/>
      <c r="O56" s="117"/>
    </row>
    <row r="57" spans="1:15" x14ac:dyDescent="0.25">
      <c r="A57" s="132"/>
      <c r="B57" s="89">
        <f>Taulukko1[[#This Row],[Organisaatio]]</f>
        <v>0</v>
      </c>
      <c r="C57" s="90"/>
      <c r="D57" s="125"/>
      <c r="E57" s="125"/>
      <c r="F57" s="25"/>
      <c r="G57" s="125"/>
      <c r="H57" s="23"/>
      <c r="I57" s="23">
        <f t="shared" si="1"/>
        <v>0</v>
      </c>
      <c r="J57" s="23">
        <f t="shared" si="4"/>
        <v>0</v>
      </c>
      <c r="K57" s="129"/>
      <c r="L57" s="117"/>
      <c r="M57" s="117"/>
      <c r="N57" s="117"/>
      <c r="O57" s="117"/>
    </row>
    <row r="58" spans="1:15" x14ac:dyDescent="0.25">
      <c r="A58" s="132"/>
      <c r="B58" s="89">
        <f>Taulukko1[[#This Row],[Organisaatio]]</f>
        <v>0</v>
      </c>
      <c r="C58" s="90"/>
      <c r="D58" s="125"/>
      <c r="E58" s="125"/>
      <c r="F58" s="25"/>
      <c r="G58" s="125"/>
      <c r="H58" s="23"/>
      <c r="I58" s="23">
        <f t="shared" si="1"/>
        <v>0</v>
      </c>
      <c r="J58" s="23">
        <f t="shared" si="4"/>
        <v>0</v>
      </c>
      <c r="K58" s="129"/>
      <c r="L58" s="117"/>
      <c r="M58" s="117"/>
      <c r="N58" s="117"/>
      <c r="O58" s="117"/>
    </row>
    <row r="59" spans="1:15" x14ac:dyDescent="0.25">
      <c r="A59" s="132"/>
      <c r="B59" s="89">
        <f>Taulukko1[[#This Row],[Organisaatio]]</f>
        <v>0</v>
      </c>
      <c r="C59" s="90"/>
      <c r="D59" s="125"/>
      <c r="E59" s="125"/>
      <c r="F59" s="25"/>
      <c r="G59" s="125"/>
      <c r="H59" s="23"/>
      <c r="I59" s="23">
        <f t="shared" si="1"/>
        <v>0</v>
      </c>
      <c r="J59" s="23">
        <f t="shared" si="4"/>
        <v>0</v>
      </c>
      <c r="K59" s="129"/>
      <c r="L59" s="117"/>
      <c r="M59" s="117"/>
      <c r="N59" s="117"/>
      <c r="O59" s="117"/>
    </row>
    <row r="60" spans="1:15" x14ac:dyDescent="0.25">
      <c r="A60" s="132"/>
      <c r="B60" s="89">
        <f>Taulukko1[[#This Row],[Organisaatio]]</f>
        <v>0</v>
      </c>
      <c r="C60" s="90"/>
      <c r="D60" s="125"/>
      <c r="E60" s="125"/>
      <c r="F60" s="25"/>
      <c r="G60" s="125"/>
      <c r="H60" s="23"/>
      <c r="I60" s="23">
        <f t="shared" si="1"/>
        <v>0</v>
      </c>
      <c r="J60" s="23">
        <f t="shared" si="4"/>
        <v>0</v>
      </c>
      <c r="K60" s="129"/>
      <c r="L60" s="117"/>
      <c r="M60" s="117"/>
      <c r="N60" s="117"/>
      <c r="O60" s="117"/>
    </row>
    <row r="61" spans="1:15" x14ac:dyDescent="0.25">
      <c r="A61" s="132"/>
      <c r="B61" s="89">
        <f>Taulukko1[[#This Row],[Organisaatio]]</f>
        <v>0</v>
      </c>
      <c r="C61" s="90"/>
      <c r="D61" s="125"/>
      <c r="E61" s="125"/>
      <c r="F61" s="25"/>
      <c r="G61" s="125"/>
      <c r="H61" s="23"/>
      <c r="I61" s="23">
        <f t="shared" si="1"/>
        <v>0</v>
      </c>
      <c r="J61" s="23">
        <f t="shared" si="4"/>
        <v>0</v>
      </c>
      <c r="K61" s="129"/>
      <c r="L61" s="117"/>
      <c r="M61" s="117"/>
      <c r="N61" s="117"/>
      <c r="O61" s="117"/>
    </row>
    <row r="62" spans="1:15" x14ac:dyDescent="0.25">
      <c r="A62" s="132"/>
      <c r="B62" s="89">
        <f>Taulukko1[[#This Row],[Organisaatio]]</f>
        <v>0</v>
      </c>
      <c r="C62" s="90"/>
      <c r="D62" s="125"/>
      <c r="E62" s="125"/>
      <c r="F62" s="25"/>
      <c r="G62" s="125"/>
      <c r="H62" s="23"/>
      <c r="I62" s="23">
        <f t="shared" si="1"/>
        <v>0</v>
      </c>
      <c r="J62" s="23">
        <f t="shared" si="4"/>
        <v>0</v>
      </c>
      <c r="K62" s="129"/>
      <c r="L62" s="117"/>
      <c r="M62" s="117"/>
      <c r="N62" s="117"/>
      <c r="O62" s="117"/>
    </row>
    <row r="63" spans="1:15" x14ac:dyDescent="0.25">
      <c r="A63" s="132"/>
      <c r="B63" s="89">
        <f>Taulukko1[[#This Row],[Organisaatio]]</f>
        <v>0</v>
      </c>
      <c r="C63" s="90"/>
      <c r="D63" s="125"/>
      <c r="E63" s="125"/>
      <c r="F63" s="25"/>
      <c r="G63" s="125"/>
      <c r="H63" s="23"/>
      <c r="I63" s="23">
        <f t="shared" si="1"/>
        <v>0</v>
      </c>
      <c r="J63" s="23">
        <f t="shared" si="4"/>
        <v>0</v>
      </c>
      <c r="K63" s="129"/>
      <c r="L63" s="117"/>
      <c r="M63" s="117"/>
      <c r="N63" s="117"/>
      <c r="O63" s="117"/>
    </row>
    <row r="64" spans="1:15" x14ac:dyDescent="0.25">
      <c r="A64" s="132"/>
      <c r="B64" s="89">
        <f>Taulukko1[[#This Row],[Organisaatio]]</f>
        <v>0</v>
      </c>
      <c r="C64" s="90"/>
      <c r="D64" s="125"/>
      <c r="E64" s="125"/>
      <c r="F64" s="25"/>
      <c r="G64" s="125"/>
      <c r="H64" s="23"/>
      <c r="I64" s="23">
        <f t="shared" si="1"/>
        <v>0</v>
      </c>
      <c r="J64" s="23">
        <f t="shared" si="4"/>
        <v>0</v>
      </c>
      <c r="K64" s="129"/>
      <c r="L64" s="117"/>
      <c r="M64" s="117"/>
      <c r="N64" s="117"/>
      <c r="O64" s="117"/>
    </row>
    <row r="65" spans="1:15" x14ac:dyDescent="0.25">
      <c r="A65" s="132"/>
      <c r="B65" s="89">
        <f>Taulukko1[[#This Row],[Organisaatio]]</f>
        <v>0</v>
      </c>
      <c r="C65" s="90"/>
      <c r="D65" s="125"/>
      <c r="E65" s="125"/>
      <c r="F65" s="25"/>
      <c r="G65" s="125"/>
      <c r="H65" s="23"/>
      <c r="I65" s="23">
        <f t="shared" si="1"/>
        <v>0</v>
      </c>
      <c r="J65" s="23">
        <f t="shared" si="4"/>
        <v>0</v>
      </c>
      <c r="K65" s="129"/>
      <c r="L65" s="117"/>
      <c r="M65" s="117"/>
      <c r="N65" s="117"/>
      <c r="O65" s="117"/>
    </row>
    <row r="66" spans="1:15" x14ac:dyDescent="0.25">
      <c r="A66" s="132"/>
      <c r="B66" s="89">
        <f>Taulukko1[[#This Row],[Organisaatio]]</f>
        <v>0</v>
      </c>
      <c r="C66" s="90"/>
      <c r="D66" s="125"/>
      <c r="E66" s="125"/>
      <c r="F66" s="25"/>
      <c r="G66" s="125"/>
      <c r="H66" s="23"/>
      <c r="I66" s="23">
        <f t="shared" si="1"/>
        <v>0</v>
      </c>
      <c r="J66" s="23">
        <f t="shared" si="4"/>
        <v>0</v>
      </c>
      <c r="K66" s="129"/>
      <c r="L66" s="117"/>
      <c r="M66" s="117"/>
      <c r="N66" s="117"/>
      <c r="O66" s="117"/>
    </row>
    <row r="67" spans="1:15" x14ac:dyDescent="0.25">
      <c r="A67" s="132"/>
      <c r="B67" s="89">
        <f>Taulukko1[[#This Row],[Organisaatio]]</f>
        <v>0</v>
      </c>
      <c r="C67" s="90"/>
      <c r="D67" s="125"/>
      <c r="E67" s="125"/>
      <c r="F67" s="25"/>
      <c r="G67" s="125"/>
      <c r="H67" s="23"/>
      <c r="I67" s="23">
        <f t="shared" si="1"/>
        <v>0</v>
      </c>
      <c r="J67" s="23">
        <f t="shared" si="4"/>
        <v>0</v>
      </c>
      <c r="K67" s="129"/>
      <c r="L67" s="117"/>
      <c r="M67" s="117"/>
      <c r="N67" s="117"/>
      <c r="O67" s="117"/>
    </row>
    <row r="68" spans="1:15" x14ac:dyDescent="0.25">
      <c r="A68" s="132"/>
      <c r="B68" s="89">
        <f>Taulukko1[[#This Row],[Organisaatio]]</f>
        <v>0</v>
      </c>
      <c r="C68" s="90"/>
      <c r="D68" s="125"/>
      <c r="E68" s="125"/>
      <c r="F68" s="25"/>
      <c r="G68" s="125"/>
      <c r="H68" s="23"/>
      <c r="I68" s="23">
        <f t="shared" si="1"/>
        <v>0</v>
      </c>
      <c r="J68" s="23">
        <f t="shared" si="4"/>
        <v>0</v>
      </c>
      <c r="K68" s="129"/>
      <c r="L68" s="117"/>
      <c r="M68" s="117"/>
      <c r="N68" s="117"/>
      <c r="O68" s="117"/>
    </row>
    <row r="69" spans="1:15" x14ac:dyDescent="0.25">
      <c r="A69" s="132"/>
      <c r="B69" s="89">
        <f>Taulukko1[[#This Row],[Organisaatio]]</f>
        <v>0</v>
      </c>
      <c r="C69" s="90"/>
      <c r="D69" s="125"/>
      <c r="E69" s="125"/>
      <c r="F69" s="25"/>
      <c r="G69" s="125"/>
      <c r="H69" s="23"/>
      <c r="I69" s="23">
        <f t="shared" ref="I69:I100" si="5">H69/12</f>
        <v>0</v>
      </c>
      <c r="J69" s="23">
        <f t="shared" si="4"/>
        <v>0</v>
      </c>
      <c r="K69" s="129"/>
      <c r="L69" s="117"/>
      <c r="M69" s="117"/>
      <c r="N69" s="117"/>
      <c r="O69" s="117"/>
    </row>
    <row r="70" spans="1:15" x14ac:dyDescent="0.25">
      <c r="A70" s="132"/>
      <c r="B70" s="89">
        <f>Taulukko1[[#This Row],[Organisaatio]]</f>
        <v>0</v>
      </c>
      <c r="C70" s="90"/>
      <c r="D70" s="125"/>
      <c r="E70" s="125"/>
      <c r="F70" s="25"/>
      <c r="G70" s="125"/>
      <c r="H70" s="23"/>
      <c r="I70" s="23">
        <f t="shared" si="5"/>
        <v>0</v>
      </c>
      <c r="J70" s="23">
        <f t="shared" si="4"/>
        <v>0</v>
      </c>
      <c r="K70" s="129"/>
      <c r="L70" s="117"/>
      <c r="M70" s="117"/>
      <c r="N70" s="117"/>
      <c r="O70" s="117"/>
    </row>
    <row r="71" spans="1:15" x14ac:dyDescent="0.25">
      <c r="A71" s="132"/>
      <c r="B71" s="89">
        <f>Taulukko1[[#This Row],[Organisaatio]]</f>
        <v>0</v>
      </c>
      <c r="C71" s="90"/>
      <c r="D71" s="125"/>
      <c r="E71" s="125"/>
      <c r="F71" s="25"/>
      <c r="G71" s="125"/>
      <c r="H71" s="23"/>
      <c r="I71" s="23">
        <f t="shared" si="5"/>
        <v>0</v>
      </c>
      <c r="J71" s="23">
        <f t="shared" si="4"/>
        <v>0</v>
      </c>
      <c r="K71" s="129"/>
      <c r="L71" s="117"/>
      <c r="M71" s="117"/>
      <c r="N71" s="117"/>
      <c r="O71" s="117"/>
    </row>
    <row r="72" spans="1:15" x14ac:dyDescent="0.25">
      <c r="A72" s="132"/>
      <c r="B72" s="89">
        <f>Taulukko1[[#This Row],[Organisaatio]]</f>
        <v>0</v>
      </c>
      <c r="C72" s="90"/>
      <c r="D72" s="125"/>
      <c r="E72" s="125"/>
      <c r="F72" s="25"/>
      <c r="G72" s="125"/>
      <c r="H72" s="23"/>
      <c r="I72" s="23">
        <f t="shared" si="5"/>
        <v>0</v>
      </c>
      <c r="J72" s="23">
        <f t="shared" si="4"/>
        <v>0</v>
      </c>
      <c r="K72" s="129"/>
      <c r="L72" s="117"/>
      <c r="M72" s="117"/>
      <c r="N72" s="117"/>
      <c r="O72" s="117"/>
    </row>
    <row r="73" spans="1:15" x14ac:dyDescent="0.25">
      <c r="A73" s="132"/>
      <c r="B73" s="89">
        <f>Taulukko1[[#This Row],[Organisaatio]]</f>
        <v>0</v>
      </c>
      <c r="C73" s="90"/>
      <c r="D73" s="125"/>
      <c r="E73" s="125"/>
      <c r="F73" s="25"/>
      <c r="G73" s="125"/>
      <c r="H73" s="23"/>
      <c r="I73" s="23">
        <f t="shared" si="5"/>
        <v>0</v>
      </c>
      <c r="J73" s="23">
        <f t="shared" si="4"/>
        <v>0</v>
      </c>
      <c r="K73" s="129"/>
      <c r="L73" s="117"/>
      <c r="M73" s="117"/>
      <c r="N73" s="117"/>
      <c r="O73" s="117"/>
    </row>
    <row r="74" spans="1:15" x14ac:dyDescent="0.25">
      <c r="A74" s="132"/>
      <c r="B74" s="89">
        <f>Taulukko1[[#This Row],[Organisaatio]]</f>
        <v>0</v>
      </c>
      <c r="C74" s="90"/>
      <c r="D74" s="125"/>
      <c r="E74" s="125"/>
      <c r="F74" s="25" t="s">
        <v>2</v>
      </c>
      <c r="G74" s="125"/>
      <c r="H74" s="23"/>
      <c r="I74" s="23">
        <f t="shared" si="5"/>
        <v>0</v>
      </c>
      <c r="J74" s="23">
        <f t="shared" si="4"/>
        <v>0</v>
      </c>
      <c r="K74" s="129"/>
      <c r="L74" s="117"/>
      <c r="M74" s="117"/>
      <c r="N74" s="117"/>
      <c r="O74" s="117"/>
    </row>
    <row r="75" spans="1:15" x14ac:dyDescent="0.25">
      <c r="A75" s="132"/>
      <c r="B75" s="89">
        <f>Taulukko1[[#This Row],[Organisaatio]]</f>
        <v>0</v>
      </c>
      <c r="C75" s="90"/>
      <c r="D75" s="125"/>
      <c r="E75" s="125"/>
      <c r="F75" s="25"/>
      <c r="G75" s="125"/>
      <c r="H75" s="23"/>
      <c r="I75" s="23">
        <f t="shared" si="5"/>
        <v>0</v>
      </c>
      <c r="J75" s="23">
        <f t="shared" si="4"/>
        <v>0</v>
      </c>
      <c r="K75" s="129"/>
      <c r="L75" s="117"/>
      <c r="M75" s="117"/>
      <c r="N75" s="117"/>
      <c r="O75" s="117"/>
    </row>
    <row r="76" spans="1:15" x14ac:dyDescent="0.25">
      <c r="A76" s="132"/>
      <c r="B76" s="89">
        <f>Taulukko1[[#This Row],[Organisaatio]]</f>
        <v>0</v>
      </c>
      <c r="C76" s="90"/>
      <c r="D76" s="125"/>
      <c r="E76" s="125"/>
      <c r="F76" s="25"/>
      <c r="G76" s="125"/>
      <c r="H76" s="23"/>
      <c r="I76" s="23">
        <f t="shared" si="5"/>
        <v>0</v>
      </c>
      <c r="J76" s="23">
        <f t="shared" si="4"/>
        <v>0</v>
      </c>
      <c r="K76" s="129"/>
      <c r="L76" s="117"/>
      <c r="M76" s="117"/>
      <c r="N76" s="117"/>
      <c r="O76" s="117"/>
    </row>
    <row r="77" spans="1:15" x14ac:dyDescent="0.25">
      <c r="A77" s="132"/>
      <c r="B77" s="89">
        <f>Taulukko1[[#This Row],[Organisaatio]]</f>
        <v>0</v>
      </c>
      <c r="C77" s="90"/>
      <c r="D77" s="125"/>
      <c r="E77" s="125"/>
      <c r="F77" s="25"/>
      <c r="G77" s="125"/>
      <c r="H77" s="23"/>
      <c r="I77" s="23">
        <f t="shared" si="5"/>
        <v>0</v>
      </c>
      <c r="J77" s="23">
        <f t="shared" si="4"/>
        <v>0</v>
      </c>
      <c r="K77" s="129"/>
      <c r="L77" s="117"/>
      <c r="M77" s="117"/>
      <c r="N77" s="117"/>
      <c r="O77" s="117"/>
    </row>
    <row r="78" spans="1:15" x14ac:dyDescent="0.25">
      <c r="A78" s="132"/>
      <c r="B78" s="89">
        <f>Taulukko1[[#This Row],[Organisaatio]]</f>
        <v>0</v>
      </c>
      <c r="C78" s="90"/>
      <c r="D78" s="125"/>
      <c r="E78" s="125"/>
      <c r="F78" s="25"/>
      <c r="G78" s="125"/>
      <c r="H78" s="23"/>
      <c r="I78" s="23">
        <f t="shared" si="5"/>
        <v>0</v>
      </c>
      <c r="J78" s="23">
        <f t="shared" si="4"/>
        <v>0</v>
      </c>
      <c r="K78" s="129"/>
      <c r="L78" s="117"/>
      <c r="M78" s="117"/>
      <c r="N78" s="117"/>
      <c r="O78" s="117"/>
    </row>
    <row r="79" spans="1:15" x14ac:dyDescent="0.25">
      <c r="A79" s="132"/>
      <c r="B79" s="89">
        <f>Taulukko1[[#This Row],[Organisaatio]]</f>
        <v>0</v>
      </c>
      <c r="C79" s="90"/>
      <c r="D79" s="125"/>
      <c r="E79" s="125"/>
      <c r="F79" s="25"/>
      <c r="G79" s="125"/>
      <c r="H79" s="23"/>
      <c r="I79" s="23">
        <f t="shared" si="5"/>
        <v>0</v>
      </c>
      <c r="J79" s="23">
        <f t="shared" si="4"/>
        <v>0</v>
      </c>
      <c r="K79" s="129"/>
      <c r="L79" s="117"/>
      <c r="M79" s="117"/>
      <c r="N79" s="117"/>
      <c r="O79" s="117"/>
    </row>
    <row r="80" spans="1:15" x14ac:dyDescent="0.25">
      <c r="A80" s="132"/>
      <c r="B80" s="89">
        <f>Taulukko1[[#This Row],[Organisaatio]]</f>
        <v>0</v>
      </c>
      <c r="C80" s="90"/>
      <c r="D80" s="125"/>
      <c r="E80" s="125"/>
      <c r="F80" s="25"/>
      <c r="G80" s="125"/>
      <c r="H80" s="23"/>
      <c r="I80" s="23">
        <f t="shared" si="5"/>
        <v>0</v>
      </c>
      <c r="J80" s="23">
        <f t="shared" si="4"/>
        <v>0</v>
      </c>
      <c r="K80" s="129"/>
      <c r="L80" s="117"/>
      <c r="M80" s="117"/>
      <c r="N80" s="117"/>
      <c r="O80" s="117"/>
    </row>
    <row r="81" spans="1:15" x14ac:dyDescent="0.25">
      <c r="A81" s="132"/>
      <c r="B81" s="89">
        <f>Taulukko1[[#This Row],[Organisaatio]]</f>
        <v>0</v>
      </c>
      <c r="C81" s="90"/>
      <c r="D81" s="125"/>
      <c r="E81" s="125"/>
      <c r="F81" s="25"/>
      <c r="G81" s="125"/>
      <c r="H81" s="23"/>
      <c r="I81" s="23">
        <f t="shared" si="5"/>
        <v>0</v>
      </c>
      <c r="J81" s="23">
        <f t="shared" si="4"/>
        <v>0</v>
      </c>
      <c r="K81" s="129"/>
      <c r="L81" s="117"/>
      <c r="M81" s="117"/>
      <c r="N81" s="117"/>
      <c r="O81" s="117"/>
    </row>
    <row r="82" spans="1:15" x14ac:dyDescent="0.25">
      <c r="A82" s="132"/>
      <c r="B82" s="89">
        <f>Taulukko1[[#This Row],[Organisaatio]]</f>
        <v>0</v>
      </c>
      <c r="C82" s="90"/>
      <c r="D82" s="125"/>
      <c r="E82" s="125"/>
      <c r="F82" s="25"/>
      <c r="G82" s="125"/>
      <c r="H82" s="23"/>
      <c r="I82" s="23">
        <f t="shared" si="5"/>
        <v>0</v>
      </c>
      <c r="J82" s="23">
        <f t="shared" si="4"/>
        <v>0</v>
      </c>
      <c r="K82" s="129"/>
      <c r="L82" s="117"/>
      <c r="M82" s="117"/>
      <c r="N82" s="117"/>
      <c r="O82" s="117"/>
    </row>
    <row r="83" spans="1:15" x14ac:dyDescent="0.25">
      <c r="A83" s="132"/>
      <c r="B83" s="89">
        <f>Taulukko1[[#This Row],[Organisaatio]]</f>
        <v>0</v>
      </c>
      <c r="C83" s="90"/>
      <c r="D83" s="125"/>
      <c r="E83" s="125"/>
      <c r="F83" s="25"/>
      <c r="G83" s="125"/>
      <c r="H83" s="23"/>
      <c r="I83" s="23">
        <f t="shared" si="5"/>
        <v>0</v>
      </c>
      <c r="J83" s="23">
        <f t="shared" si="4"/>
        <v>0</v>
      </c>
      <c r="K83" s="129"/>
      <c r="L83" s="117"/>
      <c r="M83" s="117"/>
      <c r="N83" s="117"/>
      <c r="O83" s="117"/>
    </row>
    <row r="84" spans="1:15" x14ac:dyDescent="0.25">
      <c r="A84" s="132"/>
      <c r="B84" s="89">
        <f>Taulukko1[[#This Row],[Organisaatio]]</f>
        <v>0</v>
      </c>
      <c r="C84" s="90"/>
      <c r="D84" s="125"/>
      <c r="E84" s="125"/>
      <c r="F84" s="25"/>
      <c r="G84" s="125"/>
      <c r="H84" s="23"/>
      <c r="I84" s="23">
        <f t="shared" si="5"/>
        <v>0</v>
      </c>
      <c r="J84" s="23">
        <f t="shared" si="4"/>
        <v>0</v>
      </c>
      <c r="K84" s="129"/>
      <c r="L84" s="117"/>
      <c r="M84" s="117"/>
      <c r="N84" s="117"/>
      <c r="O84" s="117"/>
    </row>
    <row r="85" spans="1:15" x14ac:dyDescent="0.25">
      <c r="A85" s="132"/>
      <c r="B85" s="89">
        <f>Taulukko1[[#This Row],[Organisaatio]]</f>
        <v>0</v>
      </c>
      <c r="C85" s="90"/>
      <c r="D85" s="125"/>
      <c r="E85" s="125"/>
      <c r="F85" s="25"/>
      <c r="G85" s="125"/>
      <c r="H85" s="23"/>
      <c r="I85" s="23">
        <f t="shared" si="5"/>
        <v>0</v>
      </c>
      <c r="J85" s="23">
        <f t="shared" si="4"/>
        <v>0</v>
      </c>
      <c r="K85" s="129"/>
      <c r="L85" s="117"/>
      <c r="M85" s="117"/>
      <c r="N85" s="117"/>
      <c r="O85" s="117"/>
    </row>
    <row r="86" spans="1:15" x14ac:dyDescent="0.25">
      <c r="A86" s="132"/>
      <c r="B86" s="89">
        <f>Taulukko1[[#This Row],[Organisaatio]]</f>
        <v>0</v>
      </c>
      <c r="C86" s="90"/>
      <c r="D86" s="125"/>
      <c r="E86" s="125"/>
      <c r="F86" s="25"/>
      <c r="G86" s="125"/>
      <c r="H86" s="23"/>
      <c r="I86" s="23">
        <f t="shared" si="5"/>
        <v>0</v>
      </c>
      <c r="J86" s="23">
        <f t="shared" ref="J86:J100" si="6">D86*E86</f>
        <v>0</v>
      </c>
      <c r="K86" s="129"/>
      <c r="L86" s="117"/>
      <c r="M86" s="117"/>
      <c r="N86" s="117"/>
      <c r="O86" s="117"/>
    </row>
    <row r="87" spans="1:15" x14ac:dyDescent="0.25">
      <c r="A87" s="132"/>
      <c r="B87" s="89">
        <f>Taulukko1[[#This Row],[Organisaatio]]</f>
        <v>0</v>
      </c>
      <c r="C87" s="90"/>
      <c r="D87" s="125"/>
      <c r="E87" s="125"/>
      <c r="F87" s="25"/>
      <c r="G87" s="125"/>
      <c r="H87" s="23"/>
      <c r="I87" s="23">
        <f t="shared" si="5"/>
        <v>0</v>
      </c>
      <c r="J87" s="23">
        <f t="shared" si="6"/>
        <v>0</v>
      </c>
      <c r="K87" s="129"/>
      <c r="L87" s="117"/>
      <c r="M87" s="117"/>
      <c r="N87" s="117"/>
      <c r="O87" s="117"/>
    </row>
    <row r="88" spans="1:15" x14ac:dyDescent="0.25">
      <c r="A88" s="132"/>
      <c r="B88" s="89">
        <f>Taulukko1[[#This Row],[Organisaatio]]</f>
        <v>0</v>
      </c>
      <c r="C88" s="90"/>
      <c r="D88" s="125"/>
      <c r="E88" s="125"/>
      <c r="F88" s="25"/>
      <c r="G88" s="125"/>
      <c r="H88" s="23"/>
      <c r="I88" s="23">
        <f t="shared" si="5"/>
        <v>0</v>
      </c>
      <c r="J88" s="23">
        <f t="shared" si="6"/>
        <v>0</v>
      </c>
      <c r="K88" s="129"/>
      <c r="L88" s="117"/>
      <c r="M88" s="117"/>
      <c r="N88" s="117"/>
      <c r="O88" s="117"/>
    </row>
    <row r="89" spans="1:15" x14ac:dyDescent="0.25">
      <c r="A89" s="132"/>
      <c r="B89" s="89">
        <f>Taulukko1[[#This Row],[Organisaatio]]</f>
        <v>0</v>
      </c>
      <c r="C89" s="90"/>
      <c r="D89" s="125"/>
      <c r="E89" s="125"/>
      <c r="F89" s="25"/>
      <c r="G89" s="125"/>
      <c r="H89" s="23"/>
      <c r="I89" s="23">
        <f t="shared" si="5"/>
        <v>0</v>
      </c>
      <c r="J89" s="23">
        <f t="shared" si="6"/>
        <v>0</v>
      </c>
      <c r="K89" s="129"/>
      <c r="L89" s="117"/>
      <c r="M89" s="117"/>
      <c r="N89" s="117"/>
      <c r="O89" s="117"/>
    </row>
    <row r="90" spans="1:15" x14ac:dyDescent="0.25">
      <c r="A90" s="132"/>
      <c r="B90" s="89">
        <f>Taulukko1[[#This Row],[Organisaatio]]</f>
        <v>0</v>
      </c>
      <c r="C90" s="90"/>
      <c r="D90" s="125"/>
      <c r="E90" s="125"/>
      <c r="F90" s="25"/>
      <c r="G90" s="125"/>
      <c r="H90" s="23"/>
      <c r="I90" s="23">
        <f t="shared" si="5"/>
        <v>0</v>
      </c>
      <c r="J90" s="23">
        <f t="shared" si="6"/>
        <v>0</v>
      </c>
      <c r="K90" s="129"/>
      <c r="L90" s="117"/>
      <c r="M90" s="117"/>
      <c r="N90" s="117"/>
      <c r="O90" s="117"/>
    </row>
    <row r="91" spans="1:15" x14ac:dyDescent="0.25">
      <c r="A91" s="132"/>
      <c r="B91" s="89">
        <f>Taulukko1[[#This Row],[Organisaatio]]</f>
        <v>0</v>
      </c>
      <c r="C91" s="90"/>
      <c r="D91" s="125"/>
      <c r="E91" s="125"/>
      <c r="F91" s="25"/>
      <c r="G91" s="125"/>
      <c r="H91" s="23"/>
      <c r="I91" s="23">
        <f t="shared" si="5"/>
        <v>0</v>
      </c>
      <c r="J91" s="23">
        <f t="shared" si="6"/>
        <v>0</v>
      </c>
      <c r="K91" s="129"/>
      <c r="L91" s="117"/>
      <c r="M91" s="117"/>
      <c r="N91" s="117"/>
      <c r="O91" s="117"/>
    </row>
    <row r="92" spans="1:15" x14ac:dyDescent="0.25">
      <c r="A92" s="132"/>
      <c r="B92" s="89">
        <f>Taulukko1[[#This Row],[Organisaatio]]</f>
        <v>0</v>
      </c>
      <c r="C92" s="90"/>
      <c r="D92" s="125"/>
      <c r="E92" s="125"/>
      <c r="F92" s="25"/>
      <c r="G92" s="125"/>
      <c r="H92" s="23"/>
      <c r="I92" s="23">
        <f t="shared" si="5"/>
        <v>0</v>
      </c>
      <c r="J92" s="23">
        <f t="shared" si="6"/>
        <v>0</v>
      </c>
      <c r="K92" s="129"/>
      <c r="L92" s="117"/>
      <c r="M92" s="117"/>
      <c r="N92" s="117"/>
      <c r="O92" s="117"/>
    </row>
    <row r="93" spans="1:15" x14ac:dyDescent="0.25">
      <c r="A93" s="132"/>
      <c r="B93" s="89">
        <f>Taulukko1[[#This Row],[Organisaatio]]</f>
        <v>0</v>
      </c>
      <c r="C93" s="90"/>
      <c r="D93" s="125"/>
      <c r="E93" s="125"/>
      <c r="F93" s="25"/>
      <c r="G93" s="125"/>
      <c r="H93" s="23"/>
      <c r="I93" s="23">
        <f t="shared" si="5"/>
        <v>0</v>
      </c>
      <c r="J93" s="23">
        <f t="shared" si="6"/>
        <v>0</v>
      </c>
      <c r="K93" s="129"/>
      <c r="L93" s="117"/>
      <c r="M93" s="117"/>
      <c r="N93" s="117"/>
      <c r="O93" s="117"/>
    </row>
    <row r="94" spans="1:15" x14ac:dyDescent="0.25">
      <c r="A94" s="132"/>
      <c r="B94" s="89">
        <f>Taulukko1[[#This Row],[Organisaatio]]</f>
        <v>0</v>
      </c>
      <c r="C94" s="90"/>
      <c r="D94" s="125"/>
      <c r="E94" s="125"/>
      <c r="F94" s="25"/>
      <c r="G94" s="125"/>
      <c r="H94" s="23"/>
      <c r="I94" s="23">
        <f t="shared" si="5"/>
        <v>0</v>
      </c>
      <c r="J94" s="23">
        <f t="shared" si="6"/>
        <v>0</v>
      </c>
      <c r="K94" s="129"/>
      <c r="L94" s="117"/>
      <c r="M94" s="117"/>
      <c r="N94" s="117"/>
      <c r="O94" s="117"/>
    </row>
    <row r="95" spans="1:15" x14ac:dyDescent="0.25">
      <c r="A95" s="132"/>
      <c r="B95" s="89">
        <f>Taulukko1[[#This Row],[Organisaatio]]</f>
        <v>0</v>
      </c>
      <c r="C95" s="90"/>
      <c r="D95" s="125"/>
      <c r="E95" s="125"/>
      <c r="F95" s="25"/>
      <c r="G95" s="125"/>
      <c r="H95" s="23"/>
      <c r="I95" s="23">
        <f t="shared" si="5"/>
        <v>0</v>
      </c>
      <c r="J95" s="23">
        <f t="shared" si="6"/>
        <v>0</v>
      </c>
      <c r="K95" s="129"/>
      <c r="L95" s="117"/>
      <c r="M95" s="117"/>
      <c r="N95" s="117"/>
      <c r="O95" s="117"/>
    </row>
    <row r="96" spans="1:15" x14ac:dyDescent="0.25">
      <c r="A96" s="132"/>
      <c r="B96" s="89">
        <f>Taulukko1[[#This Row],[Organisaatio]]</f>
        <v>0</v>
      </c>
      <c r="C96" s="90"/>
      <c r="D96" s="125"/>
      <c r="E96" s="125"/>
      <c r="F96" s="25"/>
      <c r="G96" s="125"/>
      <c r="H96" s="23"/>
      <c r="I96" s="23">
        <f t="shared" si="5"/>
        <v>0</v>
      </c>
      <c r="J96" s="23">
        <f t="shared" si="6"/>
        <v>0</v>
      </c>
      <c r="K96" s="129"/>
      <c r="L96" s="117"/>
      <c r="M96" s="117"/>
      <c r="N96" s="117"/>
      <c r="O96" s="117"/>
    </row>
    <row r="97" spans="1:15" x14ac:dyDescent="0.25">
      <c r="A97" s="132"/>
      <c r="B97" s="89">
        <f>Taulukko1[[#This Row],[Organisaatio]]</f>
        <v>0</v>
      </c>
      <c r="C97" s="90"/>
      <c r="D97" s="125"/>
      <c r="E97" s="125"/>
      <c r="F97" s="25"/>
      <c r="G97" s="125"/>
      <c r="H97" s="23"/>
      <c r="I97" s="23">
        <f t="shared" si="5"/>
        <v>0</v>
      </c>
      <c r="J97" s="23">
        <f t="shared" si="6"/>
        <v>0</v>
      </c>
      <c r="K97" s="129"/>
      <c r="L97" s="117"/>
      <c r="M97" s="117"/>
      <c r="N97" s="117"/>
      <c r="O97" s="117"/>
    </row>
    <row r="98" spans="1:15" x14ac:dyDescent="0.25">
      <c r="A98" s="132"/>
      <c r="B98" s="89">
        <f>Taulukko1[[#This Row],[Organisaatio]]</f>
        <v>0</v>
      </c>
      <c r="C98" s="90"/>
      <c r="D98" s="125"/>
      <c r="E98" s="125"/>
      <c r="F98" s="25"/>
      <c r="G98" s="125"/>
      <c r="H98" s="23"/>
      <c r="I98" s="23">
        <f t="shared" si="5"/>
        <v>0</v>
      </c>
      <c r="J98" s="23">
        <f t="shared" si="6"/>
        <v>0</v>
      </c>
      <c r="K98" s="129"/>
      <c r="L98" s="117"/>
      <c r="M98" s="117"/>
      <c r="N98" s="117"/>
      <c r="O98" s="117"/>
    </row>
    <row r="99" spans="1:15" x14ac:dyDescent="0.25">
      <c r="A99" s="132"/>
      <c r="B99" s="89">
        <f>Taulukko1[[#This Row],[Organisaatio]]</f>
        <v>0</v>
      </c>
      <c r="C99" s="90"/>
      <c r="D99" s="125"/>
      <c r="E99" s="125"/>
      <c r="F99" s="25"/>
      <c r="G99" s="125"/>
      <c r="H99" s="23"/>
      <c r="I99" s="23">
        <f t="shared" si="5"/>
        <v>0</v>
      </c>
      <c r="J99" s="23">
        <f t="shared" si="6"/>
        <v>0</v>
      </c>
      <c r="K99" s="129"/>
      <c r="L99" s="117"/>
      <c r="M99" s="117"/>
      <c r="N99" s="117"/>
      <c r="O99" s="117"/>
    </row>
    <row r="100" spans="1:15" x14ac:dyDescent="0.25">
      <c r="A100" s="132"/>
      <c r="B100" s="89">
        <f>Taulukko1[[#This Row],[Organisaatio]]</f>
        <v>0</v>
      </c>
      <c r="C100" s="90"/>
      <c r="D100" s="125"/>
      <c r="E100" s="125"/>
      <c r="F100" s="25"/>
      <c r="G100" s="125"/>
      <c r="H100" s="23"/>
      <c r="I100" s="23">
        <f t="shared" si="5"/>
        <v>0</v>
      </c>
      <c r="J100" s="23">
        <f t="shared" si="6"/>
        <v>0</v>
      </c>
      <c r="K100" s="129"/>
      <c r="L100" s="117"/>
      <c r="M100" s="117"/>
      <c r="N100" s="117"/>
      <c r="O100" s="117"/>
    </row>
    <row r="101" spans="1:15" x14ac:dyDescent="0.25">
      <c r="A101" s="132"/>
      <c r="B101" s="62" t="s">
        <v>98</v>
      </c>
      <c r="C101" s="20"/>
      <c r="D101" s="20"/>
      <c r="E101" s="20"/>
      <c r="F101" s="20"/>
      <c r="G101" s="20" t="s">
        <v>2</v>
      </c>
      <c r="H101" s="21"/>
      <c r="I101" s="21"/>
      <c r="J101" s="22">
        <f>SUM(J4:J22)</f>
        <v>60480</v>
      </c>
      <c r="K101" s="129"/>
      <c r="L101" s="117"/>
      <c r="M101" s="117"/>
      <c r="N101" s="117"/>
      <c r="O101" s="117"/>
    </row>
    <row r="102" spans="1:15" ht="15.75" thickBot="1" x14ac:dyDescent="0.3">
      <c r="A102" s="132"/>
      <c r="B102" s="63" t="s">
        <v>99</v>
      </c>
      <c r="C102" s="17"/>
      <c r="D102" s="17" t="s">
        <v>2</v>
      </c>
      <c r="E102" s="17"/>
      <c r="F102" s="17"/>
      <c r="G102" s="17"/>
      <c r="H102" s="18">
        <f>SUM(H4:H22)/60</f>
        <v>297.83333333333331</v>
      </c>
      <c r="I102" s="18">
        <f>H102/12</f>
        <v>24.819444444444443</v>
      </c>
      <c r="J102" s="17"/>
      <c r="K102" s="129"/>
      <c r="L102" s="117"/>
      <c r="M102" s="117"/>
      <c r="N102" s="117"/>
      <c r="O102" s="117"/>
    </row>
    <row r="103" spans="1:15" x14ac:dyDescent="0.25">
      <c r="A103" s="115" t="s">
        <v>2</v>
      </c>
      <c r="B103" s="115"/>
      <c r="C103" s="115"/>
      <c r="D103" s="115"/>
      <c r="E103" s="115"/>
      <c r="F103" s="115"/>
      <c r="G103" s="115"/>
      <c r="H103" s="115"/>
      <c r="I103" s="115"/>
      <c r="J103" s="115"/>
      <c r="K103" s="115"/>
      <c r="L103" s="117"/>
      <c r="M103" s="117"/>
      <c r="N103" s="117"/>
      <c r="O103" s="116"/>
    </row>
    <row r="104" spans="1:15" ht="15" hidden="1" customHeight="1" x14ac:dyDescent="0.25">
      <c r="A104" s="56"/>
      <c r="B104" s="39"/>
      <c r="C104" s="27"/>
      <c r="D104" s="37"/>
      <c r="E104" s="38"/>
      <c r="F104" s="37"/>
      <c r="G104" s="43"/>
      <c r="H104" s="26"/>
      <c r="I104" s="41"/>
      <c r="J104" s="26" t="s">
        <v>2</v>
      </c>
      <c r="K104" s="57"/>
      <c r="L104" s="117"/>
      <c r="M104" s="117"/>
      <c r="N104" s="117"/>
      <c r="O104" s="58"/>
    </row>
    <row r="105" spans="1:15" ht="15" hidden="1" customHeight="1" x14ac:dyDescent="0.25">
      <c r="A105" s="54"/>
      <c r="B105" s="42"/>
      <c r="C105" s="13"/>
      <c r="D105" s="15"/>
      <c r="E105" s="15"/>
      <c r="F105" s="15"/>
      <c r="H105" s="13"/>
      <c r="J105" s="13"/>
      <c r="K105" s="54"/>
      <c r="L105" s="117"/>
      <c r="M105" s="117"/>
      <c r="N105" s="117"/>
      <c r="O105" s="54"/>
    </row>
    <row r="106" spans="1:15" ht="15" hidden="1" customHeight="1" x14ac:dyDescent="0.25">
      <c r="L106" s="117"/>
      <c r="M106" s="117"/>
      <c r="N106" s="117"/>
    </row>
    <row r="107" spans="1:15" ht="15" hidden="1" customHeight="1" x14ac:dyDescent="0.25">
      <c r="L107" s="117"/>
      <c r="M107" s="117"/>
      <c r="N107" s="117"/>
    </row>
    <row r="108" spans="1:15" ht="15" hidden="1" customHeight="1" x14ac:dyDescent="0.25">
      <c r="L108" s="117"/>
      <c r="M108" s="117"/>
      <c r="N108" s="117"/>
    </row>
    <row r="109" spans="1:15" hidden="1" x14ac:dyDescent="0.25">
      <c r="L109" s="117"/>
      <c r="M109" s="117"/>
      <c r="N109" s="117"/>
    </row>
    <row r="110" spans="1:15" hidden="1" x14ac:dyDescent="0.25">
      <c r="L110" s="115"/>
      <c r="M110" s="115"/>
      <c r="N110" s="115"/>
    </row>
    <row r="111" spans="1:15" hidden="1" x14ac:dyDescent="0.25">
      <c r="L111" s="59"/>
      <c r="M111" s="60"/>
      <c r="N111" s="60"/>
    </row>
    <row r="112" spans="1:15" hidden="1" x14ac:dyDescent="0.25">
      <c r="L112" s="54"/>
    </row>
  </sheetData>
  <mergeCells count="7">
    <mergeCell ref="P1:P1048576"/>
    <mergeCell ref="B2:J2"/>
    <mergeCell ref="A1:O1"/>
    <mergeCell ref="A2:A102"/>
    <mergeCell ref="K2:K102"/>
    <mergeCell ref="L2:O2"/>
    <mergeCell ref="O3:O5"/>
  </mergeCells>
  <phoneticPr fontId="2" type="noConversion"/>
  <conditionalFormatting sqref="N9:N12">
    <cfRule type="cellIs" dxfId="37" priority="1" operator="lessThan">
      <formula>0</formula>
    </cfRule>
    <cfRule type="cellIs" dxfId="36" priority="2" operator="greaterThan">
      <formula>0</formula>
    </cfRule>
  </conditionalFormatting>
  <pageMargins left="0.7" right="0.7" top="0.75" bottom="0.75" header="0.3" footer="0.3"/>
  <pageSetup orientation="portrait" r:id="rId1"/>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D92-41DE-47E8-952F-CF20482896A0}">
  <sheetPr codeName="Taul2"/>
  <dimension ref="A1:K34"/>
  <sheetViews>
    <sheetView workbookViewId="0">
      <selection activeCell="D29" sqref="D29:F33"/>
    </sheetView>
  </sheetViews>
  <sheetFormatPr defaultColWidth="0" defaultRowHeight="15" zeroHeight="1" x14ac:dyDescent="0.25"/>
  <cols>
    <col min="1" max="3" width="9.140625" customWidth="1"/>
    <col min="4" max="4" width="69.140625" customWidth="1"/>
    <col min="5" max="11" width="9.140625" customWidth="1"/>
    <col min="12" max="26" width="9.140625" hidden="1" customWidth="1"/>
    <col min="27" max="16384" width="9.140625" hidden="1"/>
  </cols>
  <sheetData>
    <row r="1" spans="1:11" x14ac:dyDescent="0.25">
      <c r="A1" s="129"/>
      <c r="B1" s="129"/>
      <c r="C1" s="129"/>
      <c r="D1" s="129"/>
      <c r="E1" s="129"/>
      <c r="F1" s="129"/>
      <c r="G1" s="129"/>
      <c r="H1" s="129"/>
      <c r="I1" s="129"/>
      <c r="J1" s="133"/>
      <c r="K1" s="133"/>
    </row>
    <row r="2" spans="1:11" x14ac:dyDescent="0.25">
      <c r="A2" s="129"/>
      <c r="B2" s="129"/>
      <c r="C2" s="134"/>
      <c r="D2" s="45" t="s">
        <v>3</v>
      </c>
      <c r="E2" s="71" t="s">
        <v>107</v>
      </c>
      <c r="F2" s="46" t="s">
        <v>106</v>
      </c>
      <c r="G2" s="129"/>
      <c r="H2" s="129"/>
      <c r="I2" s="129"/>
      <c r="J2" s="133"/>
      <c r="K2" s="133"/>
    </row>
    <row r="3" spans="1:11" x14ac:dyDescent="0.25">
      <c r="A3" s="129"/>
      <c r="B3" s="129"/>
      <c r="C3" s="134"/>
      <c r="D3" s="1" t="s">
        <v>103</v>
      </c>
      <c r="E3" s="72"/>
      <c r="F3" s="44">
        <v>2000</v>
      </c>
      <c r="G3" s="129"/>
      <c r="H3" s="129"/>
      <c r="I3" s="129"/>
      <c r="J3" s="133"/>
      <c r="K3" s="133"/>
    </row>
    <row r="4" spans="1:11" x14ac:dyDescent="0.25">
      <c r="A4" s="129"/>
      <c r="B4" s="129"/>
      <c r="C4" s="134"/>
      <c r="D4" s="1" t="s">
        <v>139</v>
      </c>
      <c r="E4" s="72" t="s">
        <v>102</v>
      </c>
      <c r="F4" s="4">
        <f>'2. Myyntiennuste'!M4</f>
        <v>60480</v>
      </c>
      <c r="G4" s="129"/>
      <c r="H4" s="129"/>
      <c r="I4" s="129"/>
      <c r="J4" s="133"/>
      <c r="K4" s="133"/>
    </row>
    <row r="5" spans="1:11" x14ac:dyDescent="0.25">
      <c r="A5" s="129"/>
      <c r="B5" s="129"/>
      <c r="C5" s="134"/>
      <c r="D5" s="1" t="s">
        <v>140</v>
      </c>
      <c r="E5" s="72"/>
      <c r="F5" s="4">
        <f>Taulukko1[[#Totals],[hinta yht.]]</f>
        <v>11580</v>
      </c>
      <c r="G5" s="129"/>
      <c r="H5" s="129"/>
      <c r="I5" s="129"/>
      <c r="J5" s="133"/>
      <c r="K5" s="133"/>
    </row>
    <row r="6" spans="1:11" x14ac:dyDescent="0.25">
      <c r="A6" s="129"/>
      <c r="B6" s="129"/>
      <c r="C6" s="134"/>
      <c r="D6" s="45" t="s">
        <v>4</v>
      </c>
      <c r="E6" s="71"/>
      <c r="F6" s="50"/>
      <c r="G6" s="129"/>
      <c r="H6" s="129"/>
      <c r="I6" s="129"/>
      <c r="J6" s="133"/>
      <c r="K6" s="133"/>
    </row>
    <row r="7" spans="1:11" x14ac:dyDescent="0.25">
      <c r="A7" s="129"/>
      <c r="B7" s="129"/>
      <c r="C7" s="134"/>
      <c r="D7" s="1" t="s">
        <v>104</v>
      </c>
      <c r="E7" s="73">
        <v>20</v>
      </c>
      <c r="F7" s="4">
        <f>E7*12</f>
        <v>240</v>
      </c>
      <c r="G7" s="129"/>
      <c r="H7" s="129"/>
      <c r="I7" s="129"/>
      <c r="J7" s="133"/>
      <c r="K7" s="133"/>
    </row>
    <row r="8" spans="1:11" x14ac:dyDescent="0.25">
      <c r="A8" s="129"/>
      <c r="B8" s="129"/>
      <c r="C8" s="134"/>
      <c r="D8" s="1" t="s">
        <v>108</v>
      </c>
      <c r="E8" s="73">
        <v>150</v>
      </c>
      <c r="F8" s="4">
        <f t="shared" ref="F8:F24" si="0">E8*12</f>
        <v>1800</v>
      </c>
      <c r="G8" s="129"/>
      <c r="H8" s="129"/>
      <c r="I8" s="129"/>
      <c r="J8" s="133"/>
      <c r="K8" s="133"/>
    </row>
    <row r="9" spans="1:11" x14ac:dyDescent="0.25">
      <c r="A9" s="129"/>
      <c r="B9" s="129"/>
      <c r="C9" s="134"/>
      <c r="D9" s="1" t="s">
        <v>117</v>
      </c>
      <c r="E9" s="73">
        <v>40</v>
      </c>
      <c r="F9" s="4">
        <f t="shared" si="0"/>
        <v>480</v>
      </c>
      <c r="G9" s="129"/>
      <c r="H9" s="129"/>
      <c r="I9" s="129"/>
      <c r="J9" s="133"/>
      <c r="K9" s="133"/>
    </row>
    <row r="10" spans="1:11" x14ac:dyDescent="0.25">
      <c r="A10" s="129"/>
      <c r="B10" s="129"/>
      <c r="C10" s="134"/>
      <c r="D10" s="1" t="s">
        <v>120</v>
      </c>
      <c r="E10" s="73">
        <v>20</v>
      </c>
      <c r="F10" s="4">
        <f t="shared" si="0"/>
        <v>240</v>
      </c>
      <c r="G10" s="129"/>
      <c r="H10" s="129"/>
      <c r="I10" s="129"/>
      <c r="J10" s="133"/>
      <c r="K10" s="133"/>
    </row>
    <row r="11" spans="1:11" x14ac:dyDescent="0.25">
      <c r="A11" s="129"/>
      <c r="B11" s="129"/>
      <c r="C11" s="134"/>
      <c r="D11" s="1" t="s">
        <v>5</v>
      </c>
      <c r="E11" s="73">
        <v>10</v>
      </c>
      <c r="F11" s="4">
        <f t="shared" si="0"/>
        <v>120</v>
      </c>
      <c r="G11" s="129"/>
      <c r="H11" s="129"/>
      <c r="I11" s="129"/>
      <c r="J11" s="133"/>
      <c r="K11" s="133"/>
    </row>
    <row r="12" spans="1:11" x14ac:dyDescent="0.25">
      <c r="A12" s="129"/>
      <c r="B12" s="129"/>
      <c r="C12" s="134"/>
      <c r="D12" s="1" t="s">
        <v>118</v>
      </c>
      <c r="E12" s="73">
        <v>10</v>
      </c>
      <c r="F12" s="4">
        <f t="shared" si="0"/>
        <v>120</v>
      </c>
      <c r="G12" s="129"/>
      <c r="H12" s="129"/>
      <c r="I12" s="129"/>
      <c r="J12" s="133"/>
      <c r="K12" s="133"/>
    </row>
    <row r="13" spans="1:11" x14ac:dyDescent="0.25">
      <c r="A13" s="129"/>
      <c r="B13" s="129"/>
      <c r="C13" s="134"/>
      <c r="D13" s="1" t="s">
        <v>119</v>
      </c>
      <c r="E13" s="73">
        <v>50</v>
      </c>
      <c r="F13" s="4">
        <f t="shared" si="0"/>
        <v>600</v>
      </c>
      <c r="G13" s="129"/>
      <c r="H13" s="129"/>
      <c r="I13" s="129"/>
      <c r="J13" s="133"/>
      <c r="K13" s="133"/>
    </row>
    <row r="14" spans="1:11" x14ac:dyDescent="0.25">
      <c r="A14" s="129"/>
      <c r="B14" s="129"/>
      <c r="C14" s="134"/>
      <c r="D14" s="1" t="s">
        <v>121</v>
      </c>
      <c r="E14" s="73">
        <v>20</v>
      </c>
      <c r="F14" s="4">
        <f t="shared" si="0"/>
        <v>240</v>
      </c>
      <c r="G14" s="129"/>
      <c r="H14" s="129"/>
      <c r="I14" s="129"/>
      <c r="J14" s="133"/>
      <c r="K14" s="133"/>
    </row>
    <row r="15" spans="1:11" x14ac:dyDescent="0.25">
      <c r="A15" s="129"/>
      <c r="B15" s="129"/>
      <c r="C15" s="134"/>
      <c r="D15" s="1" t="s">
        <v>124</v>
      </c>
      <c r="E15" s="73">
        <v>0</v>
      </c>
      <c r="F15" s="4">
        <f t="shared" si="0"/>
        <v>0</v>
      </c>
      <c r="G15" s="129"/>
      <c r="H15" s="129"/>
      <c r="I15" s="129"/>
      <c r="J15" s="133"/>
      <c r="K15" s="133"/>
    </row>
    <row r="16" spans="1:11" x14ac:dyDescent="0.25">
      <c r="A16" s="129"/>
      <c r="B16" s="129"/>
      <c r="C16" s="134"/>
      <c r="D16" s="1" t="s">
        <v>6</v>
      </c>
      <c r="E16" s="73">
        <v>400</v>
      </c>
      <c r="F16" s="4">
        <f t="shared" si="0"/>
        <v>4800</v>
      </c>
      <c r="G16" s="129"/>
      <c r="H16" s="129"/>
      <c r="I16" s="129"/>
      <c r="J16" s="133"/>
      <c r="K16" s="133"/>
    </row>
    <row r="17" spans="1:11" x14ac:dyDescent="0.25">
      <c r="A17" s="129"/>
      <c r="B17" s="129"/>
      <c r="C17" s="134"/>
      <c r="D17" s="1" t="s">
        <v>7</v>
      </c>
      <c r="E17" s="73">
        <v>24</v>
      </c>
      <c r="F17" s="4">
        <f t="shared" si="0"/>
        <v>288</v>
      </c>
      <c r="G17" s="129"/>
      <c r="H17" s="129"/>
      <c r="I17" s="129"/>
      <c r="J17" s="133"/>
      <c r="K17" s="133"/>
    </row>
    <row r="18" spans="1:11" x14ac:dyDescent="0.25">
      <c r="A18" s="129"/>
      <c r="B18" s="129"/>
      <c r="C18" s="134"/>
      <c r="D18" s="1" t="s">
        <v>122</v>
      </c>
      <c r="E18" s="73">
        <v>100</v>
      </c>
      <c r="F18" s="4">
        <f t="shared" si="0"/>
        <v>1200</v>
      </c>
      <c r="G18" s="129"/>
      <c r="H18" s="129"/>
      <c r="I18" s="129"/>
      <c r="J18" s="133"/>
      <c r="K18" s="133"/>
    </row>
    <row r="19" spans="1:11" x14ac:dyDescent="0.25">
      <c r="A19" s="129"/>
      <c r="B19" s="129"/>
      <c r="C19" s="134"/>
      <c r="D19" s="1" t="s">
        <v>8</v>
      </c>
      <c r="E19" s="73">
        <v>50</v>
      </c>
      <c r="F19" s="4">
        <f t="shared" si="0"/>
        <v>600</v>
      </c>
      <c r="G19" s="129"/>
      <c r="H19" s="129"/>
      <c r="I19" s="129"/>
      <c r="J19" s="133"/>
      <c r="K19" s="133"/>
    </row>
    <row r="20" spans="1:11" x14ac:dyDescent="0.25">
      <c r="A20" s="129"/>
      <c r="B20" s="129"/>
      <c r="C20" s="134"/>
      <c r="D20" s="1" t="s">
        <v>9</v>
      </c>
      <c r="E20" s="73">
        <v>0</v>
      </c>
      <c r="F20" s="4">
        <f t="shared" si="0"/>
        <v>0</v>
      </c>
      <c r="G20" s="129"/>
      <c r="H20" s="129"/>
      <c r="I20" s="129"/>
      <c r="J20" s="133"/>
      <c r="K20" s="133"/>
    </row>
    <row r="21" spans="1:11" x14ac:dyDescent="0.25">
      <c r="A21" s="129"/>
      <c r="B21" s="129"/>
      <c r="C21" s="134"/>
      <c r="D21" s="1" t="s">
        <v>16</v>
      </c>
      <c r="E21" s="73">
        <v>80</v>
      </c>
      <c r="F21" s="4">
        <f t="shared" si="0"/>
        <v>960</v>
      </c>
      <c r="G21" s="129"/>
      <c r="H21" s="129"/>
      <c r="I21" s="129"/>
      <c r="J21" s="133"/>
      <c r="K21" s="133"/>
    </row>
    <row r="22" spans="1:11" x14ac:dyDescent="0.25">
      <c r="A22" s="129"/>
      <c r="B22" s="129"/>
      <c r="C22" s="134"/>
      <c r="D22" s="1" t="s">
        <v>10</v>
      </c>
      <c r="E22" s="73">
        <v>0</v>
      </c>
      <c r="F22" s="4">
        <f t="shared" si="0"/>
        <v>0</v>
      </c>
      <c r="G22" s="129"/>
      <c r="H22" s="129"/>
      <c r="I22" s="129"/>
      <c r="J22" s="133"/>
      <c r="K22" s="133"/>
    </row>
    <row r="23" spans="1:11" x14ac:dyDescent="0.25">
      <c r="A23" s="129"/>
      <c r="B23" s="129"/>
      <c r="C23" s="134"/>
      <c r="D23" s="1" t="s">
        <v>12</v>
      </c>
      <c r="E23" s="73">
        <v>200</v>
      </c>
      <c r="F23" s="4">
        <f t="shared" si="0"/>
        <v>2400</v>
      </c>
      <c r="G23" s="129"/>
      <c r="H23" s="129"/>
      <c r="I23" s="129"/>
      <c r="J23" s="133"/>
      <c r="K23" s="133"/>
    </row>
    <row r="24" spans="1:11" x14ac:dyDescent="0.25">
      <c r="A24" s="129"/>
      <c r="B24" s="129"/>
      <c r="C24" s="134"/>
      <c r="D24" s="1" t="s">
        <v>13</v>
      </c>
      <c r="E24" s="73">
        <v>100</v>
      </c>
      <c r="F24" s="4">
        <f t="shared" si="0"/>
        <v>1200</v>
      </c>
      <c r="G24" s="129"/>
      <c r="H24" s="129"/>
      <c r="I24" s="129"/>
      <c r="J24" s="133"/>
      <c r="K24" s="133"/>
    </row>
    <row r="25" spans="1:11" x14ac:dyDescent="0.25">
      <c r="A25" s="129"/>
      <c r="B25" s="129"/>
      <c r="C25" s="134"/>
      <c r="D25" s="1" t="s">
        <v>123</v>
      </c>
      <c r="E25" s="73"/>
      <c r="F25" s="4">
        <f>SUM(F7:F24)</f>
        <v>15288</v>
      </c>
      <c r="G25" s="129"/>
      <c r="H25" s="129"/>
      <c r="I25" s="129"/>
      <c r="J25" s="133"/>
      <c r="K25" s="133"/>
    </row>
    <row r="26" spans="1:11" x14ac:dyDescent="0.25">
      <c r="A26" s="129"/>
      <c r="B26" s="129"/>
      <c r="C26" s="134"/>
      <c r="D26" s="47" t="s">
        <v>138</v>
      </c>
      <c r="E26" s="91"/>
      <c r="F26" s="49">
        <f>F3+F4-F25</f>
        <v>47192</v>
      </c>
      <c r="G26" s="129"/>
      <c r="H26" s="129"/>
      <c r="I26" s="129"/>
      <c r="J26" s="133"/>
      <c r="K26" s="133"/>
    </row>
    <row r="27" spans="1:11" x14ac:dyDescent="0.25">
      <c r="A27" s="129"/>
      <c r="B27" s="129"/>
      <c r="C27" s="134"/>
      <c r="D27" s="47" t="s">
        <v>141</v>
      </c>
      <c r="E27" s="48"/>
      <c r="F27" s="49">
        <f>F3+F5-F25</f>
        <v>-1708</v>
      </c>
      <c r="G27" s="129"/>
      <c r="H27" s="129"/>
      <c r="I27" s="129"/>
      <c r="J27" s="133"/>
      <c r="K27" s="133"/>
    </row>
    <row r="28" spans="1:11" x14ac:dyDescent="0.25">
      <c r="A28" s="129"/>
      <c r="B28" s="129"/>
      <c r="C28" s="134"/>
      <c r="D28" s="1"/>
      <c r="E28" s="68"/>
      <c r="F28" s="69"/>
      <c r="G28" s="129"/>
      <c r="H28" s="129"/>
      <c r="I28" s="129"/>
      <c r="J28" s="133"/>
      <c r="K28" s="133"/>
    </row>
    <row r="29" spans="1:11" x14ac:dyDescent="0.25">
      <c r="A29" s="129"/>
      <c r="B29" s="129"/>
      <c r="C29" s="134"/>
      <c r="D29" s="64"/>
      <c r="E29" s="19" t="s">
        <v>110</v>
      </c>
      <c r="F29" s="19" t="s">
        <v>105</v>
      </c>
      <c r="G29" s="129"/>
      <c r="H29" s="129"/>
      <c r="I29" s="129"/>
      <c r="J29" s="133"/>
      <c r="K29" s="133"/>
    </row>
    <row r="30" spans="1:11" ht="15" customHeight="1" x14ac:dyDescent="0.25">
      <c r="A30" s="129"/>
      <c r="B30" s="129"/>
      <c r="C30" s="134"/>
      <c r="D30" s="65" t="s">
        <v>142</v>
      </c>
      <c r="E30" s="66">
        <v>0</v>
      </c>
      <c r="F30" s="112">
        <f>(F26-5000)/'2. Myyntiennuste'!M7</f>
        <v>4219.2</v>
      </c>
      <c r="G30" s="129"/>
      <c r="H30" s="129"/>
      <c r="I30" s="129"/>
      <c r="J30" s="133"/>
      <c r="K30" s="133"/>
    </row>
    <row r="31" spans="1:11" ht="15" customHeight="1" x14ac:dyDescent="0.25">
      <c r="A31" s="129"/>
      <c r="B31" s="129"/>
      <c r="C31" s="134"/>
      <c r="D31" s="65" t="s">
        <v>143</v>
      </c>
      <c r="E31" s="67">
        <v>0.22</v>
      </c>
      <c r="F31" s="112">
        <f>F30*(100%-E31)</f>
        <v>3290.9760000000001</v>
      </c>
      <c r="G31" s="129"/>
      <c r="H31" s="129"/>
      <c r="I31" s="129"/>
      <c r="J31" s="133"/>
      <c r="K31" s="133"/>
    </row>
    <row r="32" spans="1:11" x14ac:dyDescent="0.25">
      <c r="A32" s="82"/>
      <c r="B32" s="82"/>
      <c r="C32" s="82"/>
      <c r="D32" s="65" t="s">
        <v>144</v>
      </c>
      <c r="E32" s="67">
        <v>0</v>
      </c>
      <c r="F32" s="112">
        <f>F27/12</f>
        <v>-142.33333333333334</v>
      </c>
      <c r="G32" s="82"/>
      <c r="H32" s="82"/>
      <c r="I32" s="82"/>
      <c r="J32" s="133"/>
      <c r="K32" s="133"/>
    </row>
    <row r="33" spans="4:11" ht="15" customHeight="1" x14ac:dyDescent="0.25">
      <c r="D33" s="65" t="s">
        <v>145</v>
      </c>
      <c r="E33" s="67">
        <f>E31</f>
        <v>0.22</v>
      </c>
      <c r="F33" s="112">
        <f t="shared" ref="F33" si="1">F32*(100%-E33)</f>
        <v>-111.02000000000001</v>
      </c>
      <c r="G33" s="82"/>
      <c r="H33" s="82"/>
      <c r="I33" s="82"/>
      <c r="J33" s="133"/>
      <c r="K33" s="133"/>
    </row>
    <row r="34" spans="4:11" x14ac:dyDescent="0.25">
      <c r="D34" s="82"/>
      <c r="E34" s="82"/>
      <c r="F34" s="82"/>
      <c r="G34" s="82"/>
      <c r="H34" s="82"/>
      <c r="I34" s="82"/>
      <c r="J34" s="133"/>
      <c r="K34" s="133"/>
    </row>
  </sheetData>
  <mergeCells count="4">
    <mergeCell ref="A1:I1"/>
    <mergeCell ref="J1:K34"/>
    <mergeCell ref="A2:C31"/>
    <mergeCell ref="G2:I31"/>
  </mergeCells>
  <conditionalFormatting sqref="F26">
    <cfRule type="cellIs" dxfId="11" priority="3" operator="lessThan">
      <formula>0</formula>
    </cfRule>
    <cfRule type="cellIs" dxfId="10" priority="4" operator="greaterThan">
      <formula>0</formula>
    </cfRule>
    <cfRule type="cellIs" dxfId="9" priority="5" operator="equal">
      <formula>0</formula>
    </cfRule>
  </conditionalFormatting>
  <conditionalFormatting sqref="F30:F33">
    <cfRule type="cellIs" dxfId="8" priority="1" operator="lessThan">
      <formula>0</formula>
    </cfRule>
    <cfRule type="cellIs" dxfId="7" priority="2" operator="greaterThan">
      <formula>0</formula>
    </cfRule>
  </conditionalFormatting>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FE158-2CFB-4B38-81E4-32C40627CF8C}">
  <sheetPr codeName="Taul5">
    <pageSetUpPr fitToPage="1"/>
  </sheetPr>
  <dimension ref="A2:J91"/>
  <sheetViews>
    <sheetView workbookViewId="0">
      <selection activeCell="H16" sqref="H16"/>
    </sheetView>
  </sheetViews>
  <sheetFormatPr defaultColWidth="0" defaultRowHeight="15" zeroHeight="1" x14ac:dyDescent="0.25"/>
  <cols>
    <col min="1" max="1" width="12.7109375" style="82" customWidth="1"/>
    <col min="2" max="2" width="12.7109375" customWidth="1"/>
    <col min="3" max="3" width="37.85546875" customWidth="1"/>
    <col min="4" max="4" width="27.5703125" customWidth="1"/>
    <col min="5" max="5" width="78.28515625" style="5" customWidth="1"/>
    <col min="6" max="6" width="10.42578125" style="5" customWidth="1"/>
    <col min="7" max="7" width="14.28515625" style="5" customWidth="1"/>
    <col min="8" max="8" width="25.85546875" customWidth="1"/>
    <col min="9" max="9" width="9.140625" customWidth="1"/>
    <col min="10" max="10" width="9.140625" style="82" customWidth="1"/>
    <col min="11" max="27" width="9.140625" hidden="1" customWidth="1"/>
    <col min="28" max="16384" width="9.140625" hidden="1"/>
  </cols>
  <sheetData>
    <row r="2" spans="3:8" x14ac:dyDescent="0.25">
      <c r="C2" s="108" t="s">
        <v>15</v>
      </c>
      <c r="D2" s="109"/>
      <c r="E2" s="109"/>
      <c r="F2" s="110"/>
      <c r="G2" s="110"/>
      <c r="H2" s="111"/>
    </row>
    <row r="3" spans="3:8" x14ac:dyDescent="0.25">
      <c r="C3" s="12" t="s">
        <v>29</v>
      </c>
      <c r="D3" s="52"/>
      <c r="E3" s="52" t="s">
        <v>2</v>
      </c>
      <c r="F3" s="52"/>
      <c r="G3" s="52"/>
      <c r="H3" s="102"/>
    </row>
    <row r="4" spans="3:8" x14ac:dyDescent="0.25">
      <c r="C4" s="53" t="s">
        <v>30</v>
      </c>
      <c r="D4" s="107"/>
      <c r="E4" s="52"/>
      <c r="F4" s="52"/>
      <c r="G4" s="52"/>
      <c r="H4" s="102"/>
    </row>
    <row r="5" spans="3:8" x14ac:dyDescent="0.25">
      <c r="C5" s="53" t="s">
        <v>31</v>
      </c>
      <c r="D5" s="107"/>
      <c r="E5" s="52"/>
      <c r="F5" s="52"/>
      <c r="G5" s="52"/>
      <c r="H5" s="102"/>
    </row>
    <row r="6" spans="3:8" x14ac:dyDescent="0.25">
      <c r="C6" s="53" t="s">
        <v>32</v>
      </c>
      <c r="D6" s="107"/>
      <c r="E6" s="52"/>
      <c r="F6" s="52"/>
      <c r="G6" s="52"/>
      <c r="H6" s="102"/>
    </row>
    <row r="7" spans="3:8" x14ac:dyDescent="0.25">
      <c r="C7" s="53" t="s">
        <v>33</v>
      </c>
      <c r="D7" s="107"/>
      <c r="E7" s="52"/>
      <c r="F7" s="52"/>
      <c r="G7" s="52"/>
      <c r="H7" s="102"/>
    </row>
    <row r="8" spans="3:8" x14ac:dyDescent="0.25">
      <c r="C8" s="53" t="s">
        <v>34</v>
      </c>
      <c r="D8" s="107"/>
      <c r="E8" s="52"/>
      <c r="F8" s="52"/>
      <c r="G8" s="52"/>
      <c r="H8" s="102"/>
    </row>
    <row r="9" spans="3:8" x14ac:dyDescent="0.25">
      <c r="C9" s="51" t="s">
        <v>2</v>
      </c>
      <c r="D9" s="52"/>
      <c r="E9" s="52"/>
      <c r="F9" s="52"/>
      <c r="G9" s="52"/>
      <c r="H9" s="102"/>
    </row>
    <row r="10" spans="3:8" x14ac:dyDescent="0.25">
      <c r="C10" s="92" t="s">
        <v>25</v>
      </c>
      <c r="D10" s="85" t="s">
        <v>24</v>
      </c>
      <c r="E10" s="85" t="s">
        <v>20</v>
      </c>
      <c r="F10" s="103" t="s">
        <v>125</v>
      </c>
      <c r="G10" s="103" t="s">
        <v>1</v>
      </c>
      <c r="H10" s="104" t="s">
        <v>146</v>
      </c>
    </row>
    <row r="11" spans="3:8" x14ac:dyDescent="0.25">
      <c r="C11" s="10"/>
      <c r="D11" s="8"/>
      <c r="E11" s="8"/>
      <c r="F11" s="105">
        <v>67</v>
      </c>
      <c r="G11">
        <f>_xlfn.XLOOKUP(H11,Taulukko2[Laji],Taulukko2[Arvo])*F11</f>
        <v>1608</v>
      </c>
      <c r="H11" s="106" t="s">
        <v>11</v>
      </c>
    </row>
    <row r="12" spans="3:8" x14ac:dyDescent="0.25">
      <c r="C12" s="10" t="s">
        <v>2</v>
      </c>
      <c r="D12" s="8"/>
      <c r="E12" s="8"/>
      <c r="F12" s="105">
        <v>1</v>
      </c>
      <c r="G12">
        <f>_xlfn.XLOOKUP(H12,Taulukko2[Laji],Taulukko2[Arvo])*F12</f>
        <v>24</v>
      </c>
      <c r="H12" s="106" t="s">
        <v>11</v>
      </c>
    </row>
    <row r="13" spans="3:8" x14ac:dyDescent="0.25">
      <c r="C13" s="10"/>
      <c r="D13" s="8"/>
      <c r="E13" s="8"/>
      <c r="F13" s="105">
        <v>7</v>
      </c>
      <c r="G13">
        <f>_xlfn.XLOOKUP(H13,Taulukko2[Laji],Taulukko2[Arvo])*F13</f>
        <v>4.13</v>
      </c>
      <c r="H13" s="106" t="s">
        <v>21</v>
      </c>
    </row>
    <row r="14" spans="3:8" x14ac:dyDescent="0.25">
      <c r="C14" s="10"/>
      <c r="D14" s="8"/>
      <c r="E14" s="8"/>
      <c r="F14" s="105">
        <v>60</v>
      </c>
      <c r="G14">
        <f>_xlfn.XLOOKUP(H14,Taulukko2[Laji],Taulukko2[Arvo])*F14</f>
        <v>35.4</v>
      </c>
      <c r="H14" s="106" t="s">
        <v>21</v>
      </c>
    </row>
    <row r="15" spans="3:8" x14ac:dyDescent="0.25">
      <c r="C15" s="10"/>
      <c r="D15" s="8"/>
      <c r="E15" s="8"/>
      <c r="F15" s="105">
        <v>7</v>
      </c>
      <c r="G15">
        <f>_xlfn.XLOOKUP(H15,Taulukko2[Laji],Taulukko2[Arvo])*F15</f>
        <v>92.75</v>
      </c>
      <c r="H15" s="106" t="s">
        <v>23</v>
      </c>
    </row>
    <row r="16" spans="3:8" x14ac:dyDescent="0.25">
      <c r="C16" s="10"/>
      <c r="D16" s="8"/>
      <c r="E16" s="8"/>
      <c r="F16" s="105"/>
      <c r="G16">
        <f>_xlfn.XLOOKUP(H16,Taulukko2[Laji],Taulukko2[Arvo])*F16</f>
        <v>0</v>
      </c>
      <c r="H16" s="106" t="s">
        <v>28</v>
      </c>
    </row>
    <row r="17" spans="3:8" x14ac:dyDescent="0.25">
      <c r="C17" s="10"/>
      <c r="D17" s="8"/>
      <c r="E17" s="8"/>
      <c r="F17" s="105"/>
      <c r="G17">
        <f>_xlfn.XLOOKUP(H17,Taulukko2[Laji],Taulukko2[Arvo])*F17</f>
        <v>0</v>
      </c>
      <c r="H17" s="106" t="s">
        <v>28</v>
      </c>
    </row>
    <row r="18" spans="3:8" x14ac:dyDescent="0.25">
      <c r="C18" s="10"/>
      <c r="D18" s="8"/>
      <c r="E18" s="8"/>
      <c r="F18" s="105"/>
      <c r="G18">
        <f>_xlfn.XLOOKUP(H18,Taulukko2[Laji],Taulukko2[Arvo])*F18</f>
        <v>0</v>
      </c>
      <c r="H18" s="106" t="s">
        <v>28</v>
      </c>
    </row>
    <row r="19" spans="3:8" x14ac:dyDescent="0.25">
      <c r="C19" s="10"/>
      <c r="D19" s="8"/>
      <c r="E19" s="8"/>
      <c r="F19" s="105"/>
      <c r="G19">
        <f>_xlfn.XLOOKUP(H19,Taulukko2[Laji],Taulukko2[Arvo])*F19</f>
        <v>0</v>
      </c>
      <c r="H19" s="106" t="s">
        <v>28</v>
      </c>
    </row>
    <row r="20" spans="3:8" x14ac:dyDescent="0.25">
      <c r="C20" s="10"/>
      <c r="D20" s="8"/>
      <c r="E20" s="8"/>
      <c r="F20" s="105"/>
      <c r="G20">
        <f>_xlfn.XLOOKUP(H20,Taulukko2[Laji],Taulukko2[Arvo])*F20</f>
        <v>0</v>
      </c>
      <c r="H20" s="106" t="s">
        <v>28</v>
      </c>
    </row>
    <row r="21" spans="3:8" x14ac:dyDescent="0.25">
      <c r="C21" s="10"/>
      <c r="D21" s="8"/>
      <c r="E21" s="8"/>
      <c r="F21" s="105"/>
      <c r="G21">
        <f>_xlfn.XLOOKUP(H21,Taulukko2[Laji],Taulukko2[Arvo])*F21</f>
        <v>0</v>
      </c>
      <c r="H21" s="106" t="s">
        <v>28</v>
      </c>
    </row>
    <row r="22" spans="3:8" x14ac:dyDescent="0.25">
      <c r="C22" s="10"/>
      <c r="D22" s="8"/>
      <c r="E22" s="8"/>
      <c r="F22" s="105"/>
      <c r="G22">
        <f>_xlfn.XLOOKUP(H22,Taulukko2[Laji],Taulukko2[Arvo])*F22</f>
        <v>0</v>
      </c>
      <c r="H22" s="106" t="s">
        <v>28</v>
      </c>
    </row>
    <row r="23" spans="3:8" x14ac:dyDescent="0.25">
      <c r="C23" s="10"/>
      <c r="D23" s="8"/>
      <c r="E23" s="8"/>
      <c r="F23" s="105"/>
      <c r="G23">
        <f>_xlfn.XLOOKUP(H23,Taulukko2[Laji],Taulukko2[Arvo])*F23</f>
        <v>0</v>
      </c>
      <c r="H23" s="106" t="s">
        <v>28</v>
      </c>
    </row>
    <row r="24" spans="3:8" x14ac:dyDescent="0.25">
      <c r="C24" s="10"/>
      <c r="D24" s="8"/>
      <c r="E24" s="8"/>
      <c r="F24" s="105"/>
      <c r="G24">
        <f>_xlfn.XLOOKUP(H24,Taulukko2[Laji],Taulukko2[Arvo])*F24</f>
        <v>0</v>
      </c>
      <c r="H24" s="106" t="s">
        <v>28</v>
      </c>
    </row>
    <row r="25" spans="3:8" x14ac:dyDescent="0.25">
      <c r="C25" s="10"/>
      <c r="D25" s="8"/>
      <c r="E25" s="8"/>
      <c r="F25" s="105"/>
      <c r="G25">
        <f>_xlfn.XLOOKUP(H25,Taulukko2[Laji],Taulukko2[Arvo])*F25</f>
        <v>0</v>
      </c>
      <c r="H25" s="106" t="s">
        <v>28</v>
      </c>
    </row>
    <row r="26" spans="3:8" x14ac:dyDescent="0.25">
      <c r="C26" s="10"/>
      <c r="D26" s="8"/>
      <c r="E26" s="8"/>
      <c r="F26" s="105"/>
      <c r="G26">
        <f>_xlfn.XLOOKUP(H26,Taulukko2[Laji],Taulukko2[Arvo])*F26</f>
        <v>0</v>
      </c>
      <c r="H26" s="106" t="s">
        <v>28</v>
      </c>
    </row>
    <row r="27" spans="3:8" x14ac:dyDescent="0.25">
      <c r="C27" s="10"/>
      <c r="D27" s="8"/>
      <c r="E27" s="8"/>
      <c r="F27" s="105"/>
      <c r="G27">
        <f>_xlfn.XLOOKUP(H27,Taulukko2[Laji],Taulukko2[Arvo])*F27</f>
        <v>0</v>
      </c>
      <c r="H27" s="106" t="s">
        <v>28</v>
      </c>
    </row>
    <row r="28" spans="3:8" x14ac:dyDescent="0.25">
      <c r="C28" s="10"/>
      <c r="D28" s="8"/>
      <c r="E28" s="8"/>
      <c r="F28" s="105"/>
      <c r="G28">
        <f>_xlfn.XLOOKUP(H28,Taulukko2[Laji],Taulukko2[Arvo])*F28</f>
        <v>0</v>
      </c>
      <c r="H28" s="106" t="s">
        <v>28</v>
      </c>
    </row>
    <row r="29" spans="3:8" x14ac:dyDescent="0.25">
      <c r="C29" s="10"/>
      <c r="D29" s="8"/>
      <c r="E29" s="8"/>
      <c r="F29" s="105"/>
      <c r="G29">
        <f>_xlfn.XLOOKUP(H29,Taulukko2[Laji],Taulukko2[Arvo])*F29</f>
        <v>0</v>
      </c>
      <c r="H29" s="106" t="s">
        <v>28</v>
      </c>
    </row>
    <row r="30" spans="3:8" x14ac:dyDescent="0.25">
      <c r="C30" s="10"/>
      <c r="D30" s="8"/>
      <c r="E30" s="8"/>
      <c r="F30" s="105"/>
      <c r="G30">
        <f>_xlfn.XLOOKUP(H30,Taulukko2[Laji],Taulukko2[Arvo])*F30</f>
        <v>0</v>
      </c>
      <c r="H30" s="106" t="s">
        <v>28</v>
      </c>
    </row>
    <row r="31" spans="3:8" x14ac:dyDescent="0.25">
      <c r="C31" s="10"/>
      <c r="D31" s="8"/>
      <c r="E31" s="8"/>
      <c r="F31" s="105"/>
      <c r="G31">
        <f>_xlfn.XLOOKUP(H31,Taulukko2[Laji],Taulukko2[Arvo])*F31</f>
        <v>0</v>
      </c>
      <c r="H31" s="106" t="s">
        <v>28</v>
      </c>
    </row>
    <row r="32" spans="3:8" x14ac:dyDescent="0.25">
      <c r="C32" s="10"/>
      <c r="D32" s="8"/>
      <c r="E32" s="8"/>
      <c r="F32" s="105"/>
      <c r="G32">
        <f>_xlfn.XLOOKUP(H32,Taulukko2[Laji],Taulukko2[Arvo])*F32</f>
        <v>0</v>
      </c>
      <c r="H32" s="106" t="s">
        <v>28</v>
      </c>
    </row>
    <row r="33" spans="3:8" x14ac:dyDescent="0.25">
      <c r="C33" s="10"/>
      <c r="D33" s="8"/>
      <c r="E33" s="8"/>
      <c r="F33" s="105"/>
      <c r="G33">
        <f>_xlfn.XLOOKUP(H33,Taulukko2[Laji],Taulukko2[Arvo])*F33</f>
        <v>0</v>
      </c>
      <c r="H33" s="106" t="s">
        <v>28</v>
      </c>
    </row>
    <row r="34" spans="3:8" x14ac:dyDescent="0.25">
      <c r="C34" s="10"/>
      <c r="D34" s="8"/>
      <c r="E34" s="8"/>
      <c r="F34" s="105"/>
      <c r="G34">
        <f>_xlfn.XLOOKUP(H34,Taulukko2[Laji],Taulukko2[Arvo])*F34</f>
        <v>0</v>
      </c>
      <c r="H34" s="106" t="s">
        <v>28</v>
      </c>
    </row>
    <row r="35" spans="3:8" x14ac:dyDescent="0.25">
      <c r="C35" s="10"/>
      <c r="D35" s="8"/>
      <c r="E35" s="8"/>
      <c r="F35" s="105"/>
      <c r="G35">
        <f>_xlfn.XLOOKUP(H35,Taulukko2[Laji],Taulukko2[Arvo])*F35</f>
        <v>0</v>
      </c>
      <c r="H35" s="106" t="s">
        <v>28</v>
      </c>
    </row>
    <row r="36" spans="3:8" x14ac:dyDescent="0.25">
      <c r="C36" s="10"/>
      <c r="D36" s="8"/>
      <c r="E36" s="8"/>
      <c r="F36" s="105"/>
      <c r="G36">
        <f>_xlfn.XLOOKUP(H36,Taulukko2[Laji],Taulukko2[Arvo])*F36</f>
        <v>0</v>
      </c>
      <c r="H36" s="106" t="s">
        <v>28</v>
      </c>
    </row>
    <row r="37" spans="3:8" x14ac:dyDescent="0.25">
      <c r="C37" s="10"/>
      <c r="D37" s="8"/>
      <c r="E37" s="8"/>
      <c r="F37" s="105"/>
      <c r="G37">
        <f>_xlfn.XLOOKUP(H37,Taulukko2[Laji],Taulukko2[Arvo])*F37</f>
        <v>0</v>
      </c>
      <c r="H37" s="106" t="s">
        <v>28</v>
      </c>
    </row>
    <row r="38" spans="3:8" x14ac:dyDescent="0.25">
      <c r="C38" s="10"/>
      <c r="D38" s="8"/>
      <c r="E38" s="8"/>
      <c r="F38" s="105"/>
      <c r="G38">
        <f>_xlfn.XLOOKUP(H38,Taulukko2[Laji],Taulukko2[Arvo])*F38</f>
        <v>0</v>
      </c>
      <c r="H38" s="106" t="s">
        <v>28</v>
      </c>
    </row>
    <row r="39" spans="3:8" x14ac:dyDescent="0.25">
      <c r="C39" s="10"/>
      <c r="D39" s="8"/>
      <c r="E39" s="8"/>
      <c r="F39" s="105"/>
      <c r="G39">
        <f>_xlfn.XLOOKUP(H39,Taulukko2[Laji],Taulukko2[Arvo])*F39</f>
        <v>0</v>
      </c>
      <c r="H39" s="106" t="s">
        <v>28</v>
      </c>
    </row>
    <row r="40" spans="3:8" x14ac:dyDescent="0.25">
      <c r="C40" s="10"/>
      <c r="D40" s="8"/>
      <c r="E40" s="8"/>
      <c r="F40" s="105"/>
      <c r="G40">
        <f>_xlfn.XLOOKUP(H40,Taulukko2[Laji],Taulukko2[Arvo])*F40</f>
        <v>0</v>
      </c>
      <c r="H40" s="106" t="s">
        <v>28</v>
      </c>
    </row>
    <row r="41" spans="3:8" x14ac:dyDescent="0.25">
      <c r="C41" s="10"/>
      <c r="D41" s="8"/>
      <c r="E41" s="8"/>
      <c r="F41" s="105"/>
      <c r="G41">
        <f>_xlfn.XLOOKUP(H41,Taulukko2[Laji],Taulukko2[Arvo])*F41</f>
        <v>0</v>
      </c>
      <c r="H41" s="106" t="s">
        <v>28</v>
      </c>
    </row>
    <row r="42" spans="3:8" x14ac:dyDescent="0.25">
      <c r="C42" s="10"/>
      <c r="D42" s="8"/>
      <c r="E42" s="8"/>
      <c r="F42" s="105"/>
      <c r="G42">
        <f>_xlfn.XLOOKUP(H42,Taulukko2[Laji],Taulukko2[Arvo])*F42</f>
        <v>0</v>
      </c>
      <c r="H42" s="106" t="s">
        <v>28</v>
      </c>
    </row>
    <row r="43" spans="3:8" x14ac:dyDescent="0.25">
      <c r="C43" s="10"/>
      <c r="D43" s="8"/>
      <c r="E43" s="8"/>
      <c r="F43" s="105"/>
      <c r="G43">
        <f>_xlfn.XLOOKUP(H43,Taulukko2[Laji],Taulukko2[Arvo])*F43</f>
        <v>0</v>
      </c>
      <c r="H43" s="106" t="s">
        <v>28</v>
      </c>
    </row>
    <row r="44" spans="3:8" x14ac:dyDescent="0.25">
      <c r="C44" s="10"/>
      <c r="D44" s="8"/>
      <c r="E44" s="8"/>
      <c r="F44" s="105"/>
      <c r="G44">
        <f>_xlfn.XLOOKUP(H44,Taulukko2[Laji],Taulukko2[Arvo])*F44</f>
        <v>0</v>
      </c>
      <c r="H44" s="106" t="s">
        <v>28</v>
      </c>
    </row>
    <row r="45" spans="3:8" x14ac:dyDescent="0.25">
      <c r="C45" s="10"/>
      <c r="D45" s="8"/>
      <c r="E45" s="8"/>
      <c r="F45" s="105"/>
      <c r="G45">
        <f>_xlfn.XLOOKUP(H45,Taulukko2[Laji],Taulukko2[Arvo])*F45</f>
        <v>0</v>
      </c>
      <c r="H45" s="106" t="s">
        <v>28</v>
      </c>
    </row>
    <row r="46" spans="3:8" x14ac:dyDescent="0.25">
      <c r="C46" s="10"/>
      <c r="D46" s="8"/>
      <c r="E46" s="8"/>
      <c r="F46" s="105"/>
      <c r="G46">
        <f>_xlfn.XLOOKUP(H46,Taulukko2[Laji],Taulukko2[Arvo])*F46</f>
        <v>0</v>
      </c>
      <c r="H46" s="106" t="s">
        <v>28</v>
      </c>
    </row>
    <row r="47" spans="3:8" x14ac:dyDescent="0.25">
      <c r="C47" s="10"/>
      <c r="D47" s="8"/>
      <c r="E47" s="8"/>
      <c r="F47" s="105"/>
      <c r="G47">
        <f>_xlfn.XLOOKUP(H47,Taulukko2[Laji],Taulukko2[Arvo])*F47</f>
        <v>0</v>
      </c>
      <c r="H47" s="106" t="s">
        <v>28</v>
      </c>
    </row>
    <row r="48" spans="3:8" x14ac:dyDescent="0.25">
      <c r="C48" s="10"/>
      <c r="D48" s="8"/>
      <c r="E48" s="8"/>
      <c r="F48" s="105"/>
      <c r="G48">
        <f>_xlfn.XLOOKUP(H48,Taulukko2[Laji],Taulukko2[Arvo])*F48</f>
        <v>0</v>
      </c>
      <c r="H48" s="106" t="s">
        <v>28</v>
      </c>
    </row>
    <row r="49" spans="3:8" x14ac:dyDescent="0.25">
      <c r="C49" s="10"/>
      <c r="D49" s="8"/>
      <c r="E49" s="8"/>
      <c r="F49" s="105"/>
      <c r="G49">
        <f>_xlfn.XLOOKUP(H49,Taulukko2[Laji],Taulukko2[Arvo])*F49</f>
        <v>0</v>
      </c>
      <c r="H49" s="106" t="s">
        <v>28</v>
      </c>
    </row>
    <row r="50" spans="3:8" x14ac:dyDescent="0.25">
      <c r="C50" s="10"/>
      <c r="D50" s="8"/>
      <c r="E50" s="8"/>
      <c r="F50" s="105"/>
      <c r="G50">
        <f>_xlfn.XLOOKUP(H50,Taulukko2[Laji],Taulukko2[Arvo])*F50</f>
        <v>0</v>
      </c>
      <c r="H50" s="106" t="s">
        <v>28</v>
      </c>
    </row>
    <row r="51" spans="3:8" x14ac:dyDescent="0.25">
      <c r="C51" s="10"/>
      <c r="D51" s="8"/>
      <c r="E51" s="8"/>
      <c r="F51" s="105"/>
      <c r="G51">
        <f>_xlfn.XLOOKUP(H51,Taulukko2[Laji],Taulukko2[Arvo])*F51</f>
        <v>0</v>
      </c>
      <c r="H51" s="106" t="s">
        <v>28</v>
      </c>
    </row>
    <row r="52" spans="3:8" x14ac:dyDescent="0.25">
      <c r="C52" s="10"/>
      <c r="D52" s="8"/>
      <c r="E52" s="8"/>
      <c r="F52" s="105"/>
      <c r="G52">
        <f>_xlfn.XLOOKUP(H52,Taulukko2[Laji],Taulukko2[Arvo])*F52</f>
        <v>0</v>
      </c>
      <c r="H52" s="106" t="s">
        <v>28</v>
      </c>
    </row>
    <row r="53" spans="3:8" x14ac:dyDescent="0.25">
      <c r="C53" s="10"/>
      <c r="D53" s="8"/>
      <c r="E53" s="8"/>
      <c r="F53" s="105"/>
      <c r="G53">
        <f>_xlfn.XLOOKUP(H53,Taulukko2[Laji],Taulukko2[Arvo])*F53</f>
        <v>0</v>
      </c>
      <c r="H53" s="106" t="s">
        <v>28</v>
      </c>
    </row>
    <row r="54" spans="3:8" x14ac:dyDescent="0.25">
      <c r="C54" s="10"/>
      <c r="D54" s="8"/>
      <c r="E54" s="8"/>
      <c r="F54" s="105"/>
      <c r="G54">
        <f>_xlfn.XLOOKUP(H54,Taulukko2[Laji],Taulukko2[Arvo])*F54</f>
        <v>0</v>
      </c>
      <c r="H54" s="106" t="s">
        <v>28</v>
      </c>
    </row>
    <row r="55" spans="3:8" x14ac:dyDescent="0.25">
      <c r="C55" s="10"/>
      <c r="D55" s="8"/>
      <c r="E55" s="8"/>
      <c r="F55" s="105"/>
      <c r="G55">
        <f>_xlfn.XLOOKUP(H55,Taulukko2[Laji],Taulukko2[Arvo])*F55</f>
        <v>0</v>
      </c>
      <c r="H55" s="106" t="s">
        <v>28</v>
      </c>
    </row>
    <row r="56" spans="3:8" x14ac:dyDescent="0.25">
      <c r="C56" s="10"/>
      <c r="D56" s="8"/>
      <c r="E56" s="8"/>
      <c r="F56" s="105"/>
      <c r="G56">
        <f>_xlfn.XLOOKUP(H56,Taulukko2[Laji],Taulukko2[Arvo])*F56</f>
        <v>0</v>
      </c>
      <c r="H56" s="106" t="s">
        <v>28</v>
      </c>
    </row>
    <row r="57" spans="3:8" x14ac:dyDescent="0.25">
      <c r="C57" s="10"/>
      <c r="D57" s="8"/>
      <c r="E57" s="8"/>
      <c r="F57" s="105"/>
      <c r="G57">
        <f>_xlfn.XLOOKUP(H57,Taulukko2[Laji],Taulukko2[Arvo])*F57</f>
        <v>0</v>
      </c>
      <c r="H57" s="106" t="s">
        <v>28</v>
      </c>
    </row>
    <row r="58" spans="3:8" x14ac:dyDescent="0.25">
      <c r="C58" s="10"/>
      <c r="D58" s="8"/>
      <c r="E58" s="8"/>
      <c r="F58" s="105"/>
      <c r="G58">
        <f>_xlfn.XLOOKUP(H58,Taulukko2[Laji],Taulukko2[Arvo])*F58</f>
        <v>0</v>
      </c>
      <c r="H58" s="106" t="s">
        <v>28</v>
      </c>
    </row>
    <row r="59" spans="3:8" x14ac:dyDescent="0.25">
      <c r="C59" s="10"/>
      <c r="D59" s="8"/>
      <c r="E59" s="8"/>
      <c r="F59" s="105"/>
      <c r="G59">
        <f>_xlfn.XLOOKUP(H59,Taulukko2[Laji],Taulukko2[Arvo])*F59</f>
        <v>0</v>
      </c>
      <c r="H59" s="106" t="s">
        <v>28</v>
      </c>
    </row>
    <row r="60" spans="3:8" x14ac:dyDescent="0.25">
      <c r="C60" s="10"/>
      <c r="D60" s="8"/>
      <c r="E60" s="8"/>
      <c r="F60" s="105"/>
      <c r="G60">
        <f>_xlfn.XLOOKUP(H60,Taulukko2[Laji],Taulukko2[Arvo])*F60</f>
        <v>0</v>
      </c>
      <c r="H60" s="106" t="s">
        <v>28</v>
      </c>
    </row>
    <row r="61" spans="3:8" x14ac:dyDescent="0.25">
      <c r="C61" s="10"/>
      <c r="D61" s="8"/>
      <c r="E61" s="8"/>
      <c r="F61" s="105"/>
      <c r="G61">
        <f>_xlfn.XLOOKUP(H61,Taulukko2[Laji],Taulukko2[Arvo])*F61</f>
        <v>0</v>
      </c>
      <c r="H61" s="106" t="s">
        <v>28</v>
      </c>
    </row>
    <row r="62" spans="3:8" x14ac:dyDescent="0.25">
      <c r="C62" s="10"/>
      <c r="D62" s="8"/>
      <c r="E62" s="8"/>
      <c r="F62" s="105"/>
      <c r="G62">
        <f>_xlfn.XLOOKUP(H62,Taulukko2[Laji],Taulukko2[Arvo])*F62</f>
        <v>0</v>
      </c>
      <c r="H62" s="106" t="s">
        <v>28</v>
      </c>
    </row>
    <row r="63" spans="3:8" x14ac:dyDescent="0.25">
      <c r="C63" s="10"/>
      <c r="D63" s="8"/>
      <c r="E63" s="8"/>
      <c r="F63" s="105"/>
      <c r="G63">
        <f>_xlfn.XLOOKUP(H63,Taulukko2[Laji],Taulukko2[Arvo])*F63</f>
        <v>0</v>
      </c>
      <c r="H63" s="106" t="s">
        <v>28</v>
      </c>
    </row>
    <row r="64" spans="3:8" x14ac:dyDescent="0.25">
      <c r="C64" s="10"/>
      <c r="D64" s="8"/>
      <c r="E64" s="8"/>
      <c r="F64" s="105"/>
      <c r="G64">
        <f>_xlfn.XLOOKUP(H64,Taulukko2[Laji],Taulukko2[Arvo])*F64</f>
        <v>0</v>
      </c>
      <c r="H64" s="106" t="s">
        <v>28</v>
      </c>
    </row>
    <row r="65" spans="3:8" x14ac:dyDescent="0.25">
      <c r="C65" s="10"/>
      <c r="D65" s="8"/>
      <c r="E65" s="8"/>
      <c r="F65" s="105"/>
      <c r="G65">
        <f>_xlfn.XLOOKUP(H65,Taulukko2[Laji],Taulukko2[Arvo])*F65</f>
        <v>0</v>
      </c>
      <c r="H65" s="106" t="s">
        <v>28</v>
      </c>
    </row>
    <row r="66" spans="3:8" x14ac:dyDescent="0.25">
      <c r="C66" s="10"/>
      <c r="D66" s="8"/>
      <c r="E66" s="8"/>
      <c r="F66" s="105"/>
      <c r="G66">
        <f>_xlfn.XLOOKUP(H66,Taulukko2[Laji],Taulukko2[Arvo])*F66</f>
        <v>0</v>
      </c>
      <c r="H66" s="106" t="s">
        <v>28</v>
      </c>
    </row>
    <row r="67" spans="3:8" x14ac:dyDescent="0.25">
      <c r="C67" s="10"/>
      <c r="D67" s="8"/>
      <c r="E67" s="8"/>
      <c r="F67" s="105"/>
      <c r="G67">
        <f>_xlfn.XLOOKUP(H67,Taulukko2[Laji],Taulukko2[Arvo])*F67</f>
        <v>0</v>
      </c>
      <c r="H67" s="106" t="s">
        <v>28</v>
      </c>
    </row>
    <row r="68" spans="3:8" x14ac:dyDescent="0.25">
      <c r="C68" s="10"/>
      <c r="D68" s="8"/>
      <c r="E68" s="8"/>
      <c r="F68" s="105"/>
      <c r="G68">
        <f>_xlfn.XLOOKUP(H68,Taulukko2[Laji],Taulukko2[Arvo])*F68</f>
        <v>0</v>
      </c>
      <c r="H68" s="106" t="s">
        <v>28</v>
      </c>
    </row>
    <row r="69" spans="3:8" x14ac:dyDescent="0.25">
      <c r="C69" s="10"/>
      <c r="D69" s="8"/>
      <c r="E69" s="8"/>
      <c r="F69" s="105"/>
      <c r="G69">
        <f>_xlfn.XLOOKUP(H69,Taulukko2[Laji],Taulukko2[Arvo])*F69</f>
        <v>0</v>
      </c>
      <c r="H69" s="106" t="s">
        <v>28</v>
      </c>
    </row>
    <row r="70" spans="3:8" x14ac:dyDescent="0.25">
      <c r="C70" s="10"/>
      <c r="D70" s="8"/>
      <c r="E70" s="8"/>
      <c r="F70" s="105"/>
      <c r="G70">
        <f>_xlfn.XLOOKUP(H70,Taulukko2[Laji],Taulukko2[Arvo])*F70</f>
        <v>0</v>
      </c>
      <c r="H70" s="106" t="s">
        <v>28</v>
      </c>
    </row>
    <row r="71" spans="3:8" x14ac:dyDescent="0.25">
      <c r="C71" s="10"/>
      <c r="D71" s="8"/>
      <c r="E71" s="8"/>
      <c r="F71" s="105"/>
      <c r="G71">
        <f>_xlfn.XLOOKUP(H71,Taulukko2[Laji],Taulukko2[Arvo])*F71</f>
        <v>0</v>
      </c>
      <c r="H71" s="106" t="s">
        <v>28</v>
      </c>
    </row>
    <row r="72" spans="3:8" x14ac:dyDescent="0.25">
      <c r="C72" s="10"/>
      <c r="D72" s="8"/>
      <c r="E72" s="8"/>
      <c r="F72" s="105"/>
      <c r="G72">
        <f>_xlfn.XLOOKUP(H72,Taulukko2[Laji],Taulukko2[Arvo])*F72</f>
        <v>0</v>
      </c>
      <c r="H72" s="106" t="s">
        <v>28</v>
      </c>
    </row>
    <row r="73" spans="3:8" x14ac:dyDescent="0.25">
      <c r="C73" s="10"/>
      <c r="D73" s="8"/>
      <c r="E73" s="8"/>
      <c r="F73" s="105"/>
      <c r="G73">
        <f>_xlfn.XLOOKUP(H73,Taulukko2[Laji],Taulukko2[Arvo])*F73</f>
        <v>0</v>
      </c>
      <c r="H73" s="106" t="s">
        <v>28</v>
      </c>
    </row>
    <row r="74" spans="3:8" x14ac:dyDescent="0.25">
      <c r="C74" s="10"/>
      <c r="D74" s="8"/>
      <c r="E74" s="8"/>
      <c r="F74" s="105"/>
      <c r="G74">
        <f>_xlfn.XLOOKUP(H74,Taulukko2[Laji],Taulukko2[Arvo])*F74</f>
        <v>0</v>
      </c>
      <c r="H74" s="106" t="s">
        <v>28</v>
      </c>
    </row>
    <row r="75" spans="3:8" x14ac:dyDescent="0.25">
      <c r="C75" s="10"/>
      <c r="D75" s="8"/>
      <c r="E75" s="8"/>
      <c r="F75" s="105"/>
      <c r="G75">
        <f>_xlfn.XLOOKUP(H75,Taulukko2[Laji],Taulukko2[Arvo])*F75</f>
        <v>0</v>
      </c>
      <c r="H75" s="106" t="s">
        <v>28</v>
      </c>
    </row>
    <row r="76" spans="3:8" x14ac:dyDescent="0.25">
      <c r="C76" s="10"/>
      <c r="D76" s="8"/>
      <c r="E76" s="8"/>
      <c r="F76" s="105"/>
      <c r="G76">
        <f>_xlfn.XLOOKUP(H76,Taulukko2[Laji],Taulukko2[Arvo])*F76</f>
        <v>0</v>
      </c>
      <c r="H76" s="106" t="s">
        <v>28</v>
      </c>
    </row>
    <row r="77" spans="3:8" x14ac:dyDescent="0.25">
      <c r="C77" s="10"/>
      <c r="D77" s="8"/>
      <c r="E77" s="8"/>
      <c r="F77" s="105"/>
      <c r="G77">
        <f>_xlfn.XLOOKUP(H77,Taulukko2[Laji],Taulukko2[Arvo])*F77</f>
        <v>0</v>
      </c>
      <c r="H77" s="106" t="s">
        <v>28</v>
      </c>
    </row>
    <row r="78" spans="3:8" x14ac:dyDescent="0.25">
      <c r="C78" s="10"/>
      <c r="D78" s="8"/>
      <c r="E78" s="8"/>
      <c r="F78" s="105"/>
      <c r="G78">
        <f>_xlfn.XLOOKUP(H78,Taulukko2[Laji],Taulukko2[Arvo])*F78</f>
        <v>0</v>
      </c>
      <c r="H78" s="106" t="s">
        <v>28</v>
      </c>
    </row>
    <row r="79" spans="3:8" x14ac:dyDescent="0.25">
      <c r="C79" s="10"/>
      <c r="D79" s="8"/>
      <c r="E79" s="8"/>
      <c r="F79" s="105"/>
      <c r="G79">
        <f>_xlfn.XLOOKUP(H79,Taulukko2[Laji],Taulukko2[Arvo])*F79</f>
        <v>0</v>
      </c>
      <c r="H79" s="106" t="s">
        <v>28</v>
      </c>
    </row>
    <row r="80" spans="3:8" x14ac:dyDescent="0.25">
      <c r="C80" s="10"/>
      <c r="D80" s="8"/>
      <c r="E80" s="8"/>
      <c r="F80" s="105"/>
      <c r="G80">
        <f>_xlfn.XLOOKUP(H80,Taulukko2[Laji],Taulukko2[Arvo])*F80</f>
        <v>0</v>
      </c>
      <c r="H80" s="106" t="s">
        <v>28</v>
      </c>
    </row>
    <row r="81" spans="2:9" x14ac:dyDescent="0.25">
      <c r="B81" s="82"/>
      <c r="C81" s="10"/>
      <c r="D81" s="8"/>
      <c r="E81" s="8"/>
      <c r="F81" s="105"/>
      <c r="G81">
        <f>_xlfn.XLOOKUP(H81,Taulukko2[Laji],Taulukko2[Arvo])*F81</f>
        <v>0</v>
      </c>
      <c r="H81" s="106" t="s">
        <v>28</v>
      </c>
      <c r="I81" s="82"/>
    </row>
    <row r="82" spans="2:9" x14ac:dyDescent="0.25">
      <c r="B82" s="82"/>
      <c r="C82" s="10"/>
      <c r="D82" s="8"/>
      <c r="E82" s="8"/>
      <c r="F82" s="105"/>
      <c r="G82">
        <f>_xlfn.XLOOKUP(H82,Taulukko2[Laji],Taulukko2[Arvo])*F82</f>
        <v>0</v>
      </c>
      <c r="H82" s="106" t="s">
        <v>28</v>
      </c>
      <c r="I82" s="82"/>
    </row>
    <row r="83" spans="2:9" x14ac:dyDescent="0.25">
      <c r="B83" s="82"/>
      <c r="C83" s="10"/>
      <c r="D83" s="8"/>
      <c r="E83" s="8"/>
      <c r="F83" s="105"/>
      <c r="G83">
        <f>_xlfn.XLOOKUP(H83,Taulukko2[Laji],Taulukko2[Arvo])*F83</f>
        <v>0</v>
      </c>
      <c r="H83" s="106" t="s">
        <v>28</v>
      </c>
      <c r="I83" s="82"/>
    </row>
    <row r="84" spans="2:9" x14ac:dyDescent="0.25">
      <c r="B84" s="82"/>
      <c r="C84" s="10"/>
      <c r="D84" s="8"/>
      <c r="E84" s="8"/>
      <c r="F84" s="105"/>
      <c r="G84">
        <f>_xlfn.XLOOKUP(H84,Taulukko2[Laji],Taulukko2[Arvo])*F84</f>
        <v>0</v>
      </c>
      <c r="H84" s="106" t="s">
        <v>28</v>
      </c>
      <c r="I84" s="82"/>
    </row>
    <row r="85" spans="2:9" x14ac:dyDescent="0.25">
      <c r="B85" s="82"/>
      <c r="C85" s="10"/>
      <c r="D85" s="8"/>
      <c r="E85" s="8"/>
      <c r="F85" s="105"/>
      <c r="G85">
        <f>_xlfn.XLOOKUP(H85,Taulukko2[Laji],Taulukko2[Arvo])*F85</f>
        <v>0</v>
      </c>
      <c r="H85" s="106" t="s">
        <v>28</v>
      </c>
      <c r="I85" s="82"/>
    </row>
    <row r="86" spans="2:9" x14ac:dyDescent="0.25">
      <c r="B86" s="82"/>
      <c r="C86" s="10"/>
      <c r="D86" s="8"/>
      <c r="E86" s="8"/>
      <c r="F86" s="105"/>
      <c r="G86">
        <f>_xlfn.XLOOKUP(H86,Taulukko2[Laji],Taulukko2[Arvo])*F86</f>
        <v>0</v>
      </c>
      <c r="H86" s="106" t="s">
        <v>28</v>
      </c>
      <c r="I86" s="82"/>
    </row>
    <row r="87" spans="2:9" x14ac:dyDescent="0.25">
      <c r="B87" s="82"/>
      <c r="C87" s="10"/>
      <c r="D87" s="8"/>
      <c r="E87" s="8"/>
      <c r="F87" s="105"/>
      <c r="G87">
        <f>_xlfn.XLOOKUP(H87,Taulukko2[Laji],Taulukko2[Arvo])*F87</f>
        <v>0</v>
      </c>
      <c r="H87" s="106" t="s">
        <v>28</v>
      </c>
      <c r="I87" s="82"/>
    </row>
    <row r="88" spans="2:9" x14ac:dyDescent="0.25">
      <c r="B88" s="82"/>
      <c r="C88" s="10"/>
      <c r="D88" s="8"/>
      <c r="E88" s="8"/>
      <c r="F88" s="105"/>
      <c r="G88">
        <f>_xlfn.XLOOKUP(H88,Taulukko2[Laji],Taulukko2[Arvo])*F88</f>
        <v>0</v>
      </c>
      <c r="H88" s="106" t="s">
        <v>28</v>
      </c>
      <c r="I88" s="82"/>
    </row>
    <row r="89" spans="2:9" x14ac:dyDescent="0.25">
      <c r="B89" s="82"/>
      <c r="C89" s="97" t="s">
        <v>116</v>
      </c>
      <c r="D89" s="98"/>
      <c r="E89" s="98"/>
      <c r="F89" s="99"/>
      <c r="G89" s="100">
        <f>SUBTOTAL(109,Taulukko3[Yhteensä])</f>
        <v>1764.2800000000002</v>
      </c>
      <c r="H89" s="101"/>
      <c r="I89" s="82"/>
    </row>
    <row r="90" spans="2:9" x14ac:dyDescent="0.25">
      <c r="B90" s="129"/>
      <c r="C90" s="129"/>
      <c r="D90" s="129"/>
      <c r="E90" s="129"/>
      <c r="F90" s="129"/>
      <c r="G90" s="129"/>
      <c r="H90" s="129"/>
      <c r="I90" s="129"/>
    </row>
    <row r="91" spans="2:9" x14ac:dyDescent="0.25">
      <c r="B91" s="129"/>
      <c r="C91" s="129"/>
      <c r="D91" s="129"/>
      <c r="E91" s="129"/>
      <c r="F91" s="129"/>
      <c r="G91" s="129"/>
      <c r="H91" s="129"/>
      <c r="I91" s="129"/>
    </row>
  </sheetData>
  <sheetProtection insertRows="0"/>
  <mergeCells count="1">
    <mergeCell ref="B90:I91"/>
  </mergeCells>
  <pageMargins left="0.7" right="0.7" top="0.75" bottom="0.75" header="0.3" footer="0.3"/>
  <pageSetup paperSize="9" scale="49" orientation="landscape"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22C3372-DE00-41D8-BB1B-0160A0E66EB9}">
          <x14:formula1>
            <xm:f>Aputaulukko!$A$5:$A$8</xm:f>
          </x14:formula1>
          <xm:sqref>H89 G92:G98</xm:sqref>
        </x14:dataValidation>
        <x14:dataValidation type="list" allowBlank="1" showInputMessage="1" showErrorMessage="1" xr:uid="{CA9D102E-CB94-4BA7-8D56-25B964AD491C}">
          <x14:formula1>
            <xm:f>Aputaulukko!$A$4:$A$8</xm:f>
          </x14:formula1>
          <xm:sqref>H11:H88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22D2F-3457-4AE0-BD6C-6660A9586FA7}">
  <sheetPr codeName="Taul6"/>
  <dimension ref="A2:B15"/>
  <sheetViews>
    <sheetView workbookViewId="0">
      <selection activeCell="A2" sqref="A2:B15"/>
    </sheetView>
  </sheetViews>
  <sheetFormatPr defaultRowHeight="15" x14ac:dyDescent="0.25"/>
  <cols>
    <col min="1" max="1" width="16.5703125" customWidth="1"/>
  </cols>
  <sheetData>
    <row r="2" spans="1:2" x14ac:dyDescent="0.25">
      <c r="A2" t="s">
        <v>12</v>
      </c>
    </row>
    <row r="3" spans="1:2" x14ac:dyDescent="0.25">
      <c r="A3" t="s">
        <v>26</v>
      </c>
      <c r="B3" t="s">
        <v>27</v>
      </c>
    </row>
    <row r="4" spans="1:2" x14ac:dyDescent="0.25">
      <c r="A4" t="s">
        <v>28</v>
      </c>
      <c r="B4">
        <v>0</v>
      </c>
    </row>
    <row r="5" spans="1:2" x14ac:dyDescent="0.25">
      <c r="A5" t="s">
        <v>21</v>
      </c>
      <c r="B5" s="6">
        <v>0.59</v>
      </c>
    </row>
    <row r="6" spans="1:2" x14ac:dyDescent="0.25">
      <c r="A6" t="s">
        <v>11</v>
      </c>
      <c r="B6" s="7">
        <v>24</v>
      </c>
    </row>
    <row r="7" spans="1:2" x14ac:dyDescent="0.25">
      <c r="A7" t="s">
        <v>22</v>
      </c>
      <c r="B7" s="7">
        <v>53</v>
      </c>
    </row>
    <row r="8" spans="1:2" x14ac:dyDescent="0.25">
      <c r="A8" t="s">
        <v>23</v>
      </c>
      <c r="B8" s="6">
        <v>13.25</v>
      </c>
    </row>
    <row r="11" spans="1:2" x14ac:dyDescent="0.25">
      <c r="A11" t="s">
        <v>85</v>
      </c>
    </row>
    <row r="12" spans="1:2" x14ac:dyDescent="0.25">
      <c r="A12" t="s">
        <v>28</v>
      </c>
    </row>
    <row r="13" spans="1:2" x14ac:dyDescent="0.25">
      <c r="A13" t="s">
        <v>86</v>
      </c>
    </row>
    <row r="14" spans="1:2" x14ac:dyDescent="0.25">
      <c r="A14" t="s">
        <v>87</v>
      </c>
    </row>
    <row r="15" spans="1:2" x14ac:dyDescent="0.25">
      <c r="A15" t="s">
        <v>88</v>
      </c>
    </row>
  </sheetData>
  <sheetProtection algorithmName="SHA-512" hashValue="0m8i7lWAtdu+yYtXgRfPaEZPp+UFWBnYYUPclgXkaAryPh3r8W+kdyfIa5uscFpGSZUly7EQ1qJGMnMasJxzRw==" saltValue="NFzFyOTGsMlMmxa3hgGP6g==" spinCount="100000"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6</vt:i4>
      </vt:variant>
    </vt:vector>
  </HeadingPairs>
  <TitlesOfParts>
    <vt:vector size="6" baseType="lpstr">
      <vt:lpstr>Tervetuloa!</vt:lpstr>
      <vt:lpstr>1. Sopimukset ja tot.myynnit</vt:lpstr>
      <vt:lpstr>2. Myyntiennuste</vt:lpstr>
      <vt:lpstr>3. Paljonko voin maksaa palkkaa</vt:lpstr>
      <vt:lpstr>4. Kulukorvaukset</vt:lpstr>
      <vt:lpstr>Aputaulukko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Kristina Lamberg</dc:creator>
  <cp:lastModifiedBy>Kristina Lamberg</cp:lastModifiedBy>
  <cp:lastPrinted>2025-03-27T14:41:15Z</cp:lastPrinted>
  <dcterms:created xsi:type="dcterms:W3CDTF">2023-12-19T12:09:38Z</dcterms:created>
  <dcterms:modified xsi:type="dcterms:W3CDTF">2025-06-30T11:19:55Z</dcterms:modified>
</cp:coreProperties>
</file>